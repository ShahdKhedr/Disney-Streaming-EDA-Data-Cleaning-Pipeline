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ahmad\Desktop\"/>
    </mc:Choice>
  </mc:AlternateContent>
  <xr:revisionPtr revIDLastSave="0" documentId="8_{0ED0DAD1-6F2F-461B-83A9-729E3CEA1D5F}" xr6:coauthVersionLast="47" xr6:coauthVersionMax="47" xr10:uidLastSave="{00000000-0000-0000-0000-000000000000}"/>
  <bookViews>
    <workbookView xWindow="-120" yWindow="-120" windowWidth="20730" windowHeight="11160" activeTab="1" xr2:uid="{D6825E40-918A-4116-AADE-A98CA7D801CF}"/>
  </bookViews>
  <sheets>
    <sheet name="Pivots" sheetId="2" r:id="rId1"/>
    <sheet name="Sheet1" sheetId="6" r:id="rId2"/>
  </sheets>
  <definedNames>
    <definedName name="Slicer_director1">#N/A</definedName>
  </definedNames>
  <calcPr calcId="191029"/>
  <pivotCaches>
    <pivotCache cacheId="0" r:id="rId3"/>
    <pivotCache cacheId="2" r:id="rId4"/>
    <pivotCache cacheId="3" r:id="rId5"/>
    <pivotCache cacheId="9" r:id="rId6"/>
    <pivotCache cacheId="92" r:id="rId7"/>
    <pivotCache cacheId="180" r:id="rId8"/>
    <pivotCache cacheId="234" r:id="rId9"/>
  </pivotCaches>
  <extLst>
    <ext xmlns:x14="http://schemas.microsoft.com/office/spreadsheetml/2009/9/main" uri="{876F7934-8845-4945-9796-88D515C7AA90}">
      <x14:pivotCaches>
        <pivotCache cacheId="173" r:id="rId10"/>
      </x14:pivotCaches>
    </ex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rector_Unpacked_6987c704-f734-4583-ba78-85d0c0133a3a" name="Director_Unpacked" connection="Query - Director_Unpacked"/>
          <x15:modelTable id="Main_f0b1c1fe-aa0c-4361-879e-d6207863ae50" name="Main" connection="Query - Main"/>
          <x15:modelTable id="Cast_Unpacked_dfbcf47b-6022-4396-8176-0abafc9ed031" name="Cast_Unpacked" connection="Query - Cast_Unpacked"/>
        </x15:modelTables>
        <x15:modelRelationships>
          <x15:modelRelationship fromTable="Director_Unpacked" fromColumn="show_id" toTable="Main" toColumn="show_id"/>
          <x15:modelRelationship fromTable="Cast_Unpacked" fromColumn="show_id" toTable="Main" toColumn="show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20"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FED95FA-D3BD-4C60-957D-AAD03A0CD6BD}" name="Query - Cast_Unpacked" description="Connection to the 'Cast_Unpacked' query in the workbook." type="100" refreshedVersion="8" minRefreshableVersion="5">
    <extLst>
      <ext xmlns:x15="http://schemas.microsoft.com/office/spreadsheetml/2010/11/main" uri="{DE250136-89BD-433C-8126-D09CA5730AF9}">
        <x15:connection id="6bb3c42e-8b8d-45c1-9545-88b3c9ef677f"/>
      </ext>
    </extLst>
  </connection>
  <connection id="2" xr16:uid="{4F05EEF3-97B0-4219-BF6B-73B71C8534A2}" name="Query - Director_Unpacked" description="Connection to the 'Director_Unpacked' query in the workbook." type="100" refreshedVersion="8" minRefreshableVersion="5">
    <extLst>
      <ext xmlns:x15="http://schemas.microsoft.com/office/spreadsheetml/2010/11/main" uri="{DE250136-89BD-433C-8126-D09CA5730AF9}">
        <x15:connection id="94a10a0e-f49f-432d-b220-597732486544"/>
      </ext>
    </extLst>
  </connection>
  <connection id="3" xr16:uid="{79592C96-E2B7-4767-9306-1900EC658007}" name="Query - Main" description="Connection to the 'Main' query in the workbook." type="100" refreshedVersion="8" minRefreshableVersion="5">
    <extLst>
      <ext xmlns:x15="http://schemas.microsoft.com/office/spreadsheetml/2010/11/main" uri="{DE250136-89BD-433C-8126-D09CA5730AF9}">
        <x15:connection id="9ee51ca8-03fb-481b-9d05-771a1d8cd99a"/>
      </ext>
    </extLst>
  </connection>
  <connection id="4" xr16:uid="{62722D7D-B9BD-4CB1-872D-0C88D7F7239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<sst xmlns="http://schemas.openxmlformats.org/spreadsheetml/2006/main" count="101" uniqueCount="63">
  <si>
    <t>Row Labels</t>
  </si>
  <si>
    <t>Canada</t>
  </si>
  <si>
    <t>Canada, United States</t>
  </si>
  <si>
    <t>United Kingdom</t>
  </si>
  <si>
    <t>United Kingdom, United States</t>
  </si>
  <si>
    <t>United States</t>
  </si>
  <si>
    <t>United States, Australia</t>
  </si>
  <si>
    <t>United States, Canada</t>
  </si>
  <si>
    <t>United States, France</t>
  </si>
  <si>
    <t>United States, United Kingdom</t>
  </si>
  <si>
    <t>Unknown Country</t>
  </si>
  <si>
    <t>Grand Total</t>
  </si>
  <si>
    <t>Count of show_id</t>
  </si>
  <si>
    <t>Known Countries</t>
  </si>
  <si>
    <t>Bob Peterson</t>
  </si>
  <si>
    <t>Charles Nichols</t>
  </si>
  <si>
    <t>Jack Hannah</t>
  </si>
  <si>
    <t>Jack Kinney</t>
  </si>
  <si>
    <t>John Lasseter</t>
  </si>
  <si>
    <t>Paul Hoen</t>
  </si>
  <si>
    <t>Robert Stevenson</t>
  </si>
  <si>
    <t>Unknown Director</t>
  </si>
  <si>
    <t>Vincent McEveety</t>
  </si>
  <si>
    <t>Walt Disney</t>
  </si>
  <si>
    <t>Wilfred Jackson</t>
  </si>
  <si>
    <t xml:space="preserve"> Anthony Daniels</t>
  </si>
  <si>
    <t xml:space="preserve"> Bill Farmer</t>
  </si>
  <si>
    <t xml:space="preserve"> Bob Peterson</t>
  </si>
  <si>
    <t xml:space="preserve"> Corey Burton</t>
  </si>
  <si>
    <t xml:space="preserve"> Jeff Bennett</t>
  </si>
  <si>
    <t xml:space="preserve"> Jim Cummings</t>
  </si>
  <si>
    <t xml:space="preserve"> Keith Ferguson</t>
  </si>
  <si>
    <t xml:space="preserve"> Russi Taylor</t>
  </si>
  <si>
    <t xml:space="preserve"> Tress MacNeille</t>
  </si>
  <si>
    <t xml:space="preserve"> Trevor Devall</t>
  </si>
  <si>
    <t xml:space="preserve"> Wallace Shawn</t>
  </si>
  <si>
    <t>Larry the Cable Guy</t>
  </si>
  <si>
    <t>Tony Hale</t>
  </si>
  <si>
    <t>Unknown Cast</t>
  </si>
  <si>
    <t>Column Labels</t>
  </si>
  <si>
    <t>Action-Adventure</t>
  </si>
  <si>
    <t>Animals &amp; Nature</t>
  </si>
  <si>
    <t>Animation</t>
  </si>
  <si>
    <t>Comedy</t>
  </si>
  <si>
    <t>Documentary</t>
  </si>
  <si>
    <t>Unique Countries</t>
  </si>
  <si>
    <t>Unique Directors</t>
  </si>
  <si>
    <t>Unique_Countries</t>
  </si>
  <si>
    <t>US Production %</t>
  </si>
  <si>
    <t>Unknown Country %</t>
  </si>
  <si>
    <t>Avg Titles per Director</t>
  </si>
  <si>
    <t>Most Frequent Actor</t>
  </si>
  <si>
    <t>Jim Cummings (24)</t>
  </si>
  <si>
    <t xml:space="preserve"> Art Stevens</t>
  </si>
  <si>
    <t>United Kingdom, Canada, United States</t>
  </si>
  <si>
    <t>MOVIES ANALYTICS DASHBOARD</t>
  </si>
  <si>
    <t>Q1</t>
  </si>
  <si>
    <t>Q2</t>
  </si>
  <si>
    <t>Q3</t>
  </si>
  <si>
    <t>Q4</t>
  </si>
  <si>
    <t>Q5</t>
  </si>
  <si>
    <t>Q6</t>
  </si>
  <si>
    <t>Q7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</si>
</sst>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font>
      <sz val="11"/>
      <color theme="1"/>
      <name val="Arial"/>
      <family val="2"/>
      <scheme val="minor"/>
    </font>
    <font>
      <sz val="11"/>
      <color theme="1"/>
      <name val="Arial"/>
      <family val="2"/>
      <scheme val="minor"/>
    </font>
    <font>
      <sz val="10"/>
      <color theme="1"/>
      <name val="Arial Unicode MS"/>
    </font>
    <font>
      <b/>
      <sz val="18"/>
      <color theme="0"/>
      <name val="Arial"/>
      <family val="2"/>
      <scheme val="minor"/>
    </font>
    <font>
      <b/>
      <sz val="10"/>
      <color theme="0"/>
      <name val="Arial"/>
      <family val="2"/>
      <scheme val="minor"/>
    </font>
    <font>
      <b/>
      <sz val="16"/>
      <color theme="0"/>
      <name val="Arial"/>
      <family val="2"/>
      <scheme val="minor"/>
    </font>
    <font>
      <b/>
      <sz val="28"/>
      <color theme="1"/>
      <name val="Arial"/>
      <family val="2"/>
      <scheme val="minor"/>
    </font>
  </fonts>
  <fills count="4">
    <fill>
      <patternFill patternType="none"/>
    </fill>
    <fill>
      <patternFill patternType="gray125"/>
    </fill>
    <fill>
      <patternFill patternType="solid">
        <fgColor rgb="FF081F44"/>
        <bgColor indexed="64"/>
      </patternFill>
    </fill>
    <fill>
      <patternFill patternType="solid">
        <fgColor theme="0"/>
        <bgColor indexed="64"/>
      </patternFill>
    </fill>
  </fills>
  <borders count="6">
    <border>
      <left/>
      <right/>
      <top/>
      <bottom/>
      <diagonal/>
    </border>
    <border>
      <left style="thin">
        <color rgb="FF8EA2D7"/>
      </left>
      <right style="thin">
        <color rgb="FF8EA2D7"/>
      </right>
      <top style="thin">
        <color rgb="FF8EA2D7"/>
      </top>
      <bottom style="thin">
        <color rgb="FF8EA2D7"/>
      </bottom>
      <diagonal/>
    </border>
    <border>
      <left style="thin">
        <color rgb="FF8EA2D7"/>
      </left>
      <right style="thin">
        <color rgb="FF8EA2D7"/>
      </right>
      <top/>
      <bottom style="thin">
        <color rgb="FF8EA2D7"/>
      </bottom>
      <diagonal/>
    </border>
    <border>
      <left style="thin">
        <color rgb="FF8EA2D7"/>
      </left>
      <right style="thin">
        <color rgb="FF8EA2D7"/>
      </right>
      <top style="thin">
        <color rgb="FF8EA2D7"/>
      </top>
      <bottom/>
      <diagonal/>
    </border>
    <border>
      <left style="thin">
        <color rgb="FF8EA2D7"/>
      </left>
      <right style="thin">
        <color rgb="FF8EA2D7"/>
      </right>
      <top/>
      <bottom/>
      <diagonal/>
    </border>
    <border>
      <left/>
      <right/>
      <top style="thin">
        <color rgb="FF8EA2D7"/>
      </top>
      <bottom style="thin">
        <color rgb="FF8EA2D7"/>
      </bottom>
      <diagonal/>
    </border>
  </borders>
  <cellStyleXfs count="2">
    <xf numFmtId="0" fontId="0" fillId="0" borderId="0"/>
    <xf numFmtId="9" fontId="1" fillId="0" borderId="0" applyFont="0" applyFill="0" applyBorder="0" applyAlignment="0" applyProtection="0"/>
  </cellStyleXfs>
  <cellXfs count="22">
    <xf numFmtId="0" fontId="0" fillId="0" borderId="0" xfId="0"/>
    <xf numFmtId="0" fontId="0" fillId="0" borderId="0" xfId="0" pivotButton="1"/>
    <xf numFmtId="0" fontId="0" fillId="0" borderId="0" xfId="0" applyAlignment="1">
      <alignment horizontal="right"/>
    </xf>
    <xf numFmtId="0" fontId="2" fillId="0" borderId="0" xfId="0" applyFont="1"/>
    <xf numFmtId="9" fontId="0" fillId="0" borderId="0" xfId="1" applyFont="1"/>
    <xf numFmtId="0" fontId="0" fillId="0" borderId="0" xfId="0" applyNumberFormat="1"/>
    <xf numFmtId="0" fontId="3" fillId="2" borderId="0" xfId="0" applyFont="1" applyFill="1" applyAlignment="1">
      <alignment horizontal="center" vertical="center"/>
    </xf>
    <xf numFmtId="0" fontId="0" fillId="2" borderId="0" xfId="0" applyFill="1"/>
    <xf numFmtId="0" fontId="0" fillId="3" borderId="0" xfId="0" applyFill="1"/>
    <xf numFmtId="0" fontId="3" fillId="2" borderId="0" xfId="0" applyFont="1" applyFill="1" applyAlignment="1">
      <alignment horizontal="center" vertical="top"/>
    </xf>
    <xf numFmtId="0" fontId="4" fillId="2" borderId="1" xfId="0" applyFont="1" applyFill="1" applyBorder="1" applyAlignment="1">
      <alignment horizontal="center" vertical="center"/>
    </xf>
    <xf numFmtId="0" fontId="5" fillId="2" borderId="1" xfId="0" applyFont="1" applyFill="1" applyBorder="1" applyAlignment="1">
      <alignment horizontal="center" vertical="center"/>
    </xf>
    <xf numFmtId="0" fontId="4" fillId="2" borderId="3" xfId="0" applyFont="1" applyFill="1" applyBorder="1" applyAlignment="1">
      <alignment horizontal="center" vertical="center"/>
    </xf>
    <xf numFmtId="0" fontId="5" fillId="2" borderId="2" xfId="0" applyFont="1" applyFill="1" applyBorder="1" applyAlignment="1">
      <alignment horizontal="center" vertical="center"/>
    </xf>
    <xf numFmtId="0" fontId="0" fillId="2" borderId="0" xfId="0" applyFill="1" applyBorder="1"/>
    <xf numFmtId="10" fontId="5" fillId="2" borderId="2" xfId="0" applyNumberFormat="1" applyFont="1" applyFill="1" applyBorder="1" applyAlignment="1">
      <alignment horizontal="center" vertical="center"/>
    </xf>
    <xf numFmtId="0" fontId="4" fillId="2" borderId="4" xfId="0" applyFont="1" applyFill="1" applyBorder="1" applyAlignment="1">
      <alignment horizontal="center" vertical="center"/>
    </xf>
    <xf numFmtId="0" fontId="4" fillId="2" borderId="0" xfId="0" applyFont="1" applyFill="1" applyBorder="1" applyAlignment="1">
      <alignment horizontal="center" vertical="center"/>
    </xf>
    <xf numFmtId="0" fontId="5" fillId="2" borderId="0" xfId="0" applyFont="1" applyFill="1" applyBorder="1" applyAlignment="1">
      <alignment horizontal="center" vertical="center"/>
    </xf>
    <xf numFmtId="0" fontId="5" fillId="2" borderId="4" xfId="0" applyFont="1" applyFill="1" applyBorder="1" applyAlignment="1">
      <alignment horizontal="center" vertical="center"/>
    </xf>
    <xf numFmtId="0" fontId="5" fillId="2" borderId="5" xfId="0" applyFont="1" applyFill="1" applyBorder="1" applyAlignment="1">
      <alignment horizontal="center" vertical="center"/>
    </xf>
    <xf numFmtId="0" fontId="6" fillId="0" borderId="0" xfId="0" applyFont="1" applyAlignment="1">
      <alignment horizontal="center" vertical="center"/>
    </xf>
  </cellXfs>
  <cellStyles count="2">
    <cellStyle name="Normal" xfId="0" builtinId="0"/>
    <cellStyle name="Percent" xfId="1" builtinId="5"/>
  </cellStyles>
  <dxfs count="3">
    <dxf>
      <font>
        <b/>
        <i val="0"/>
        <sz val="14"/>
        <color theme="0"/>
        <name val="Times New Roman"/>
        <family val="1"/>
        <scheme val="major"/>
      </font>
      <fill>
        <patternFill patternType="solid">
          <fgColor theme="0"/>
          <bgColor rgb="FF081F44"/>
        </patternFill>
      </fill>
      <border diagonalUp="0" diagonalDown="0">
        <left/>
        <right/>
        <top/>
        <bottom/>
        <vertical/>
        <horizontal/>
      </border>
    </dxf>
    <dxf>
      <font>
        <color theme="0"/>
      </font>
    </dxf>
    <dxf>
      <fill>
        <patternFill patternType="solid">
          <fgColor theme="0"/>
          <bgColor rgb="FF14366D"/>
        </patternFill>
      </fill>
    </dxf>
  </dxfs>
  <tableStyles count="3" defaultTableStyle="TableStyleMedium2" defaultPivotStyle="PivotStyleLight16">
    <tableStyle name="Slicer Style 1" pivot="0" table="0" count="1" xr9:uid="{CDA078B7-8436-4561-B1D6-1BAD701E57BD}">
      <tableStyleElement type="wholeTable" dxfId="2"/>
    </tableStyle>
    <tableStyle name="Slicer Style 2" pivot="0" table="0" count="1" xr9:uid="{BD6603AF-2FCD-4353-89E8-C7F1EFF6C1A3}">
      <tableStyleElement type="wholeTable" dxfId="1"/>
    </tableStyle>
    <tableStyle name="Slicer Style 3" pivot="0" table="0" count="1" xr9:uid="{499F2AC5-878F-4FAF-A86E-6EBD7400CFF0}">
      <tableStyleElement type="wholeTable" dxfId="0"/>
    </tableStyle>
  </tableStyles>
  <colors>
    <mruColors>
      <color rgb="FF8EA2D7"/>
      <color rgb="FF081F44"/>
      <color rgb="FF4569AD"/>
      <color rgb="FF1F3F74"/>
      <color rgb="FF14366D"/>
      <color rgb="FFB7C3E8"/>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1.xml"/><Relationship Id="rId26" Type="http://schemas.openxmlformats.org/officeDocument/2006/relationships/customXml" Target="../customXml/item9.xml"/><Relationship Id="rId39" Type="http://schemas.openxmlformats.org/officeDocument/2006/relationships/customXml" Target="../customXml/item22.xml"/><Relationship Id="rId21" Type="http://schemas.openxmlformats.org/officeDocument/2006/relationships/customXml" Target="../customXml/item4.xml"/><Relationship Id="rId34" Type="http://schemas.openxmlformats.org/officeDocument/2006/relationships/customXml" Target="../customXml/item17.xml"/><Relationship Id="rId7" Type="http://schemas.openxmlformats.org/officeDocument/2006/relationships/pivotCacheDefinition" Target="pivotCache/pivotCacheDefinition5.xml"/><Relationship Id="rId12" Type="http://schemas.openxmlformats.org/officeDocument/2006/relationships/theme" Target="theme/theme1.xml"/><Relationship Id="rId17" Type="http://schemas.openxmlformats.org/officeDocument/2006/relationships/calcChain" Target="calcChain.xml"/><Relationship Id="rId25" Type="http://schemas.openxmlformats.org/officeDocument/2006/relationships/customXml" Target="../customXml/item8.xml"/><Relationship Id="rId33" Type="http://schemas.openxmlformats.org/officeDocument/2006/relationships/customXml" Target="../customXml/item16.xml"/><Relationship Id="rId38" Type="http://schemas.openxmlformats.org/officeDocument/2006/relationships/customXml" Target="../customXml/item21.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3.xml"/><Relationship Id="rId29"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microsoft.com/office/2007/relationships/slicerCache" Target="slicerCaches/slicerCache1.xml"/><Relationship Id="rId24" Type="http://schemas.openxmlformats.org/officeDocument/2006/relationships/customXml" Target="../customXml/item7.xml"/><Relationship Id="rId32" Type="http://schemas.openxmlformats.org/officeDocument/2006/relationships/customXml" Target="../customXml/item15.xml"/><Relationship Id="rId37" Type="http://schemas.openxmlformats.org/officeDocument/2006/relationships/customXml" Target="../customXml/item20.xml"/><Relationship Id="rId40" Type="http://schemas.openxmlformats.org/officeDocument/2006/relationships/customXml" Target="../customXml/item23.xml"/><Relationship Id="rId5" Type="http://schemas.openxmlformats.org/officeDocument/2006/relationships/pivotCacheDefinition" Target="pivotCache/pivotCacheDefinition3.xml"/><Relationship Id="rId15" Type="http://schemas.openxmlformats.org/officeDocument/2006/relationships/sharedStrings" Target="sharedStrings.xml"/><Relationship Id="rId23" Type="http://schemas.openxmlformats.org/officeDocument/2006/relationships/customXml" Target="../customXml/item6.xml"/><Relationship Id="rId28" Type="http://schemas.openxmlformats.org/officeDocument/2006/relationships/customXml" Target="../customXml/item11.xml"/><Relationship Id="rId36" Type="http://schemas.openxmlformats.org/officeDocument/2006/relationships/customXml" Target="../customXml/item19.xml"/><Relationship Id="rId10" Type="http://schemas.openxmlformats.org/officeDocument/2006/relationships/pivotCacheDefinition" Target="pivotCache/pivotCacheDefinition8.xml"/><Relationship Id="rId19" Type="http://schemas.openxmlformats.org/officeDocument/2006/relationships/customXml" Target="../customXml/item2.xml"/><Relationship Id="rId31" Type="http://schemas.openxmlformats.org/officeDocument/2006/relationships/customXml" Target="../customXml/item14.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styles" Target="style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35" Type="http://schemas.openxmlformats.org/officeDocument/2006/relationships/customXml" Target="../customXml/item18.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[Excel_Task (1).xlsx]Pivots!PT1_Countries</c:name>
    <c:fmtId val="2"/>
  </c:pivotSource>
  <c:chart>
    <c:title>
      <c:tx>
        <c:rich>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r>
              <a:rPr lang="ar-SA">
                <a:solidFill>
                  <a:schemeClr val="bg1"/>
                </a:solidFill>
              </a:rPr>
              <a:t>Top Countries by Number of Titles</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ar-SA"/>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569AD"/>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SA"/>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92147856517935"/>
          <c:y val="0.26328484981044037"/>
          <c:w val="0.32681496062992127"/>
          <c:h val="0.63264909594634"/>
        </c:manualLayout>
      </c:layout>
      <c:barChart>
        <c:barDir val="bar"/>
        <c:grouping val="clustered"/>
        <c:varyColors val="0"/>
        <c:ser>
          <c:idx val="0"/>
          <c:order val="0"/>
          <c:tx>
            <c:strRef>
              <c:f>Pivots!$B$3</c:f>
              <c:strCache>
                <c:ptCount val="1"/>
                <c:pt idx="0">
                  <c:v>Total</c:v>
                </c:pt>
              </c:strCache>
            </c:strRef>
          </c:tx>
          <c:spPr>
            <a:solidFill>
              <a:srgbClr val="4569AD"/>
            </a:solid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SA"/>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Pivots!$A$4:$A$14</c:f>
              <c:strCache>
                <c:ptCount val="10"/>
                <c:pt idx="0">
                  <c:v>United States</c:v>
                </c:pt>
                <c:pt idx="1">
                  <c:v>Unknown Country</c:v>
                </c:pt>
                <c:pt idx="2">
                  <c:v>United States, Canada</c:v>
                </c:pt>
                <c:pt idx="3">
                  <c:v>United Kingdom</c:v>
                </c:pt>
                <c:pt idx="4">
                  <c:v>United States, United Kingdom</c:v>
                </c:pt>
                <c:pt idx="5">
                  <c:v>Canada, United States</c:v>
                </c:pt>
                <c:pt idx="6">
                  <c:v>United Kingdom, United States</c:v>
                </c:pt>
                <c:pt idx="7">
                  <c:v>United States, Australia</c:v>
                </c:pt>
                <c:pt idx="8">
                  <c:v>Canada</c:v>
                </c:pt>
                <c:pt idx="9">
                  <c:v>United States, France</c:v>
                </c:pt>
              </c:strCache>
            </c:strRef>
          </c:cat>
          <c:val>
            <c:numRef>
              <c:f>Pivots!$B$4:$B$14</c:f>
              <c:numCache>
                <c:formatCode>General</c:formatCode>
                <c:ptCount val="10"/>
                <c:pt idx="0">
                  <c:v>1003</c:v>
                </c:pt>
                <c:pt idx="1">
                  <c:v>219</c:v>
                </c:pt>
                <c:pt idx="2">
                  <c:v>30</c:v>
                </c:pt>
                <c:pt idx="3">
                  <c:v>23</c:v>
                </c:pt>
                <c:pt idx="4">
                  <c:v>22</c:v>
                </c:pt>
                <c:pt idx="5">
                  <c:v>17</c:v>
                </c:pt>
                <c:pt idx="6">
                  <c:v>14</c:v>
                </c:pt>
                <c:pt idx="7">
                  <c:v>8</c:v>
                </c:pt>
                <c:pt idx="8">
                  <c:v>5</c:v>
                </c:pt>
                <c:pt idx="9">
                  <c:v>4</c:v>
                </c:pt>
              </c:numCache>
            </c:numRef>
          </c:val>
          <c:extLst>
            <c:ext xmlns:c16="http://schemas.microsoft.com/office/drawing/2014/chart" uri="{C3380CC4-5D6E-409C-BE32-E72D297353CC}">
              <c16:uniqueId val="{00000000-0081-4DCB-A9DB-DFF8A43F3F3A}"/>
            </c:ext>
          </c:extLst>
        </c:ser>
        <c:dLbls>
          <c:showLegendKey val="0"/>
          <c:showVal val="0"/>
          <c:showCatName val="0"/>
          <c:showSerName val="0"/>
          <c:showPercent val="0"/>
          <c:showBubbleSize val="0"/>
        </c:dLbls>
        <c:gapWidth val="182"/>
        <c:overlap val="-50"/>
        <c:axId val="1005524144"/>
        <c:axId val="1006442144"/>
      </c:barChart>
      <c:catAx>
        <c:axId val="1005524144"/>
        <c:scaling>
          <c:orientation val="minMax"/>
        </c:scaling>
        <c:delete val="0"/>
        <c:axPos val="r"/>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SA"/>
          </a:p>
        </c:txPr>
        <c:crossAx val="1006442144"/>
        <c:crosses val="autoZero"/>
        <c:auto val="1"/>
        <c:lblAlgn val="ctr"/>
        <c:lblOffset val="100"/>
        <c:noMultiLvlLbl val="0"/>
      </c:catAx>
      <c:valAx>
        <c:axId val="1006442144"/>
        <c:scaling>
          <c:orientation val="maxMin"/>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SA"/>
          </a:p>
        </c:txPr>
        <c:crossAx val="1005524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81F44"/>
    </a:solidFill>
    <a:ln w="19050" cap="flat" cmpd="sng" algn="ctr">
      <a:solidFill>
        <a:srgbClr val="8EA2D7"/>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ar-SA"/>
              <a:t>Unknown vs Known Country Data</a:t>
            </a:r>
            <a:endParaRPr lang="en-GB"/>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lotArea>
      <c:layout/>
      <c:doughnutChart>
        <c:varyColors val="1"/>
        <c:ser>
          <c:idx val="0"/>
          <c:order val="0"/>
          <c:tx>
            <c:v>Series1</c:v>
          </c:tx>
          <c:spPr>
            <a:solidFill>
              <a:srgbClr val="4569AD"/>
            </a:solidFill>
          </c:spPr>
          <c:dPt>
            <c:idx val="0"/>
            <c:bubble3D val="0"/>
            <c:spPr>
              <a:solidFill>
                <a:srgbClr val="4569AD"/>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A911-4A3D-AF36-87EE17F9D169}"/>
              </c:ext>
            </c:extLst>
          </c:dPt>
          <c:dPt>
            <c:idx val="1"/>
            <c:bubble3D val="0"/>
            <c:spPr>
              <a:solidFill>
                <a:srgbClr val="B7C3E8"/>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911-4A3D-AF36-87EE17F9D169}"/>
              </c:ext>
            </c:extLst>
          </c:dPt>
          <c:dLbls>
            <c:dLbl>
              <c:idx val="0"/>
              <c:tx>
                <c:rich>
                  <a:bodyPr/>
                  <a:lstStyle/>
                  <a:p>
                    <a:fld id="{49EDE460-9471-482C-882A-96E4E2ADA2BC}" type="PERCENTAGE">
                      <a:rPr lang="en-US" sz="1400" b="1">
                        <a:solidFill>
                          <a:schemeClr val="bg1"/>
                        </a:solidFill>
                      </a:rPr>
                      <a:pPr/>
                      <a:t>[PERCENTAGE]</a:t>
                    </a:fld>
                    <a:endParaRPr lang="ar-SA"/>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A911-4A3D-AF36-87EE17F9D169}"/>
                </c:ext>
              </c:extLst>
            </c:dLbl>
            <c:dLbl>
              <c:idx val="1"/>
              <c:tx>
                <c:rich>
                  <a:bodyPr/>
                  <a:lstStyle/>
                  <a:p>
                    <a:fld id="{B72AA2E1-EFA4-4D3B-8F34-89B070FB278D}" type="PERCENTAGE">
                      <a:rPr lang="en-US" sz="1400" b="1">
                        <a:solidFill>
                          <a:schemeClr val="bg1"/>
                        </a:solidFill>
                      </a:rPr>
                      <a:pPr/>
                      <a:t>[PERCENTAGE]</a:t>
                    </a:fld>
                    <a:endParaRPr lang="ar-SA"/>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A911-4A3D-AF36-87EE17F9D16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s>
          <c:cat>
            <c:strLit>
              <c:ptCount val="2"/>
              <c:pt idx="0">
                <c:v>1</c:v>
              </c:pt>
              <c:pt idx="1">
                <c:v>2</c:v>
              </c:pt>
            </c:strLit>
          </c:cat>
          <c:val>
            <c:numLit>
              <c:formatCode>General</c:formatCode>
              <c:ptCount val="2"/>
              <c:pt idx="0">
                <c:v>219</c:v>
              </c:pt>
              <c:pt idx="1">
                <c:v>1126</c:v>
              </c:pt>
            </c:numLit>
          </c:val>
          <c:extLst>
            <c:ext xmlns:c16="http://schemas.microsoft.com/office/drawing/2014/chart" uri="{C3380CC4-5D6E-409C-BE32-E72D297353CC}">
              <c16:uniqueId val="{00000000-A911-4A3D-AF36-87EE17F9D169}"/>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81F44"/>
    </a:solidFill>
    <a:ln w="19050">
      <a:solidFill>
        <a:srgbClr val="8EA2D7"/>
      </a:solidFill>
    </a:ln>
    <a:effectLst/>
  </c:spPr>
  <c:txPr>
    <a:bodyPr/>
    <a:lstStyle/>
    <a:p>
      <a:pPr>
        <a:defRPr/>
      </a:pPr>
      <a:endParaRPr lang="ar-SA"/>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[Excel_Task (1).xlsx]Pivots!PT3_Directors</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ar-SA"/>
              <a:t>Top 10 Directors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1F3F74"/>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SA"/>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Pivots!$B$39</c:f>
              <c:strCache>
                <c:ptCount val="1"/>
                <c:pt idx="0">
                  <c:v>Total</c:v>
                </c:pt>
              </c:strCache>
            </c:strRef>
          </c:tx>
          <c:spPr>
            <a:solidFill>
              <a:srgbClr val="1F3F74"/>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SA"/>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Pivots!$A$40:$A$50</c:f>
              <c:strCache>
                <c:ptCount val="10"/>
                <c:pt idx="0">
                  <c:v>Unknown Director</c:v>
                </c:pt>
                <c:pt idx="1">
                  <c:v>Jack Hannah</c:v>
                </c:pt>
                <c:pt idx="2">
                  <c:v>Paul Hoen</c:v>
                </c:pt>
                <c:pt idx="3">
                  <c:v>John Lasseter</c:v>
                </c:pt>
                <c:pt idx="4">
                  <c:v>Wilfred Jackson</c:v>
                </c:pt>
                <c:pt idx="5">
                  <c:v>Charles Nichols</c:v>
                </c:pt>
                <c:pt idx="6">
                  <c:v>Robert Stevenson</c:v>
                </c:pt>
                <c:pt idx="7">
                  <c:v>Bob Peterson</c:v>
                </c:pt>
                <c:pt idx="8">
                  <c:v>Vincent McEveety</c:v>
                </c:pt>
                <c:pt idx="9">
                  <c:v>Jack Kinney</c:v>
                </c:pt>
              </c:strCache>
            </c:strRef>
          </c:cat>
          <c:val>
            <c:numRef>
              <c:f>Pivots!$B$40:$B$50</c:f>
              <c:numCache>
                <c:formatCode>General</c:formatCode>
                <c:ptCount val="10"/>
                <c:pt idx="0">
                  <c:v>470</c:v>
                </c:pt>
                <c:pt idx="1">
                  <c:v>17</c:v>
                </c:pt>
                <c:pt idx="2">
                  <c:v>16</c:v>
                </c:pt>
                <c:pt idx="3">
                  <c:v>16</c:v>
                </c:pt>
                <c:pt idx="4">
                  <c:v>14</c:v>
                </c:pt>
                <c:pt idx="5">
                  <c:v>12</c:v>
                </c:pt>
                <c:pt idx="6">
                  <c:v>12</c:v>
                </c:pt>
                <c:pt idx="7">
                  <c:v>10</c:v>
                </c:pt>
                <c:pt idx="8">
                  <c:v>10</c:v>
                </c:pt>
                <c:pt idx="9">
                  <c:v>9</c:v>
                </c:pt>
              </c:numCache>
            </c:numRef>
          </c:val>
          <c:extLst>
            <c:ext xmlns:c16="http://schemas.microsoft.com/office/drawing/2014/chart" uri="{C3380CC4-5D6E-409C-BE32-E72D297353CC}">
              <c16:uniqueId val="{00000000-FFF3-4063-BF1F-92DB287C05E9}"/>
            </c:ext>
          </c:extLst>
        </c:ser>
        <c:dLbls>
          <c:showLegendKey val="0"/>
          <c:showVal val="0"/>
          <c:showCatName val="0"/>
          <c:showSerName val="0"/>
          <c:showPercent val="0"/>
          <c:showBubbleSize val="0"/>
        </c:dLbls>
        <c:gapWidth val="115"/>
        <c:axId val="650888272"/>
        <c:axId val="1684786016"/>
      </c:barChart>
      <c:catAx>
        <c:axId val="650888272"/>
        <c:scaling>
          <c:orientation val="maxMin"/>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SA"/>
          </a:p>
        </c:txPr>
        <c:crossAx val="1684786016"/>
        <c:crosses val="autoZero"/>
        <c:auto val="1"/>
        <c:lblAlgn val="ctr"/>
        <c:lblOffset val="100"/>
        <c:noMultiLvlLbl val="0"/>
      </c:catAx>
      <c:valAx>
        <c:axId val="1684786016"/>
        <c:scaling>
          <c:orientation val="minMax"/>
        </c:scaling>
        <c:delete val="0"/>
        <c:axPos val="r"/>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SA"/>
          </a:p>
        </c:txPr>
        <c:crossAx val="650888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81F44"/>
    </a:solidFill>
    <a:ln w="19050">
      <a:solidFill>
        <a:srgbClr val="8EA2D7"/>
      </a:solidFill>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[Excel_Task (1).xlsx]Pivots!PT4_Cast</c:name>
    <c:fmtId val="1"/>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ar-SA">
                <a:solidFill>
                  <a:schemeClr val="bg1"/>
                </a:solidFill>
              </a:rPr>
              <a:t>Top 15 Cast Members </a:t>
            </a:r>
            <a:endParaRPr lang="en-GB">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GB"/>
        </a:p>
      </c:txPr>
    </c:title>
    <c:autoTitleDeleted val="0"/>
    <c:pivotFmts>
      <c:pivotFmt>
        <c:idx val="0"/>
        <c:spPr>
          <a:solidFill>
            <a:srgbClr val="8EA2D7"/>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SA"/>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Pivots!$B$59</c:f>
              <c:strCache>
                <c:ptCount val="1"/>
                <c:pt idx="0">
                  <c:v>Total</c:v>
                </c:pt>
              </c:strCache>
            </c:strRef>
          </c:tx>
          <c:spPr>
            <a:solidFill>
              <a:srgbClr val="8EA2D7"/>
            </a:solid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SA"/>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Pivots!$A$60:$A$75</c:f>
              <c:strCache>
                <c:ptCount val="15"/>
                <c:pt idx="0">
                  <c:v>Unknown Cast</c:v>
                </c:pt>
                <c:pt idx="1">
                  <c:v> Jim Cummings</c:v>
                </c:pt>
                <c:pt idx="2">
                  <c:v>Walt Disney</c:v>
                </c:pt>
                <c:pt idx="3">
                  <c:v> Corey Burton</c:v>
                </c:pt>
                <c:pt idx="4">
                  <c:v> Tress MacNeille</c:v>
                </c:pt>
                <c:pt idx="5">
                  <c:v> Bill Farmer</c:v>
                </c:pt>
                <c:pt idx="6">
                  <c:v> Jeff Bennett</c:v>
                </c:pt>
                <c:pt idx="7">
                  <c:v> Keith Ferguson</c:v>
                </c:pt>
                <c:pt idx="8">
                  <c:v> Wallace Shawn</c:v>
                </c:pt>
                <c:pt idx="9">
                  <c:v>Larry the Cable Guy</c:v>
                </c:pt>
                <c:pt idx="10">
                  <c:v> Bob Peterson</c:v>
                </c:pt>
                <c:pt idx="11">
                  <c:v> Russi Taylor</c:v>
                </c:pt>
                <c:pt idx="12">
                  <c:v>Tony Hale</c:v>
                </c:pt>
                <c:pt idx="13">
                  <c:v> Trevor Devall</c:v>
                </c:pt>
                <c:pt idx="14">
                  <c:v> Anthony Daniels</c:v>
                </c:pt>
              </c:strCache>
            </c:strRef>
          </c:cat>
          <c:val>
            <c:numRef>
              <c:f>Pivots!$B$60:$B$75</c:f>
              <c:numCache>
                <c:formatCode>General</c:formatCode>
                <c:ptCount val="15"/>
                <c:pt idx="0">
                  <c:v>190</c:v>
                </c:pt>
                <c:pt idx="1">
                  <c:v>24</c:v>
                </c:pt>
                <c:pt idx="2">
                  <c:v>15</c:v>
                </c:pt>
                <c:pt idx="3">
                  <c:v>15</c:v>
                </c:pt>
                <c:pt idx="4">
                  <c:v>14</c:v>
                </c:pt>
                <c:pt idx="5">
                  <c:v>14</c:v>
                </c:pt>
                <c:pt idx="6">
                  <c:v>14</c:v>
                </c:pt>
                <c:pt idx="7">
                  <c:v>14</c:v>
                </c:pt>
                <c:pt idx="8">
                  <c:v>13</c:v>
                </c:pt>
                <c:pt idx="9">
                  <c:v>13</c:v>
                </c:pt>
                <c:pt idx="10">
                  <c:v>12</c:v>
                </c:pt>
                <c:pt idx="11">
                  <c:v>12</c:v>
                </c:pt>
                <c:pt idx="12">
                  <c:v>11</c:v>
                </c:pt>
                <c:pt idx="13">
                  <c:v>10</c:v>
                </c:pt>
                <c:pt idx="14">
                  <c:v>10</c:v>
                </c:pt>
              </c:numCache>
            </c:numRef>
          </c:val>
          <c:extLst>
            <c:ext xmlns:c16="http://schemas.microsoft.com/office/drawing/2014/chart" uri="{C3380CC4-5D6E-409C-BE32-E72D297353CC}">
              <c16:uniqueId val="{00000000-0947-44C8-A38F-E41ADE40047B}"/>
            </c:ext>
          </c:extLst>
        </c:ser>
        <c:dLbls>
          <c:showLegendKey val="0"/>
          <c:showVal val="0"/>
          <c:showCatName val="0"/>
          <c:showSerName val="0"/>
          <c:showPercent val="0"/>
          <c:showBubbleSize val="0"/>
        </c:dLbls>
        <c:gapWidth val="182"/>
        <c:overlap val="-50"/>
        <c:axId val="650900800"/>
        <c:axId val="1684762976"/>
      </c:barChart>
      <c:catAx>
        <c:axId val="650900800"/>
        <c:scaling>
          <c:orientation val="minMax"/>
        </c:scaling>
        <c:delete val="0"/>
        <c:axPos val="r"/>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SA"/>
          </a:p>
        </c:txPr>
        <c:crossAx val="1684762976"/>
        <c:crosses val="autoZero"/>
        <c:auto val="1"/>
        <c:lblAlgn val="ctr"/>
        <c:lblOffset val="100"/>
        <c:noMultiLvlLbl val="0"/>
      </c:catAx>
      <c:valAx>
        <c:axId val="1684762976"/>
        <c:scaling>
          <c:orientation val="maxMin"/>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SA"/>
          </a:p>
        </c:txPr>
        <c:crossAx val="650900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81F44"/>
    </a:solidFill>
    <a:ln w="19050" cap="flat" cmpd="sng" algn="ctr">
      <a:solidFill>
        <a:srgbClr val="8EA2D7"/>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[Excel_Task (1).xlsx]Pivots!PT7_YearTrend</c:name>
    <c:fmtId val="31"/>
  </c:pivotSource>
  <c:chart>
    <c:title>
      <c:tx>
        <c:rich>
          <a:bodyPr rot="0" spcFirstLastPara="1" vertOverflow="ellipsis" vert="horz" wrap="square" anchor="ctr" anchorCtr="1"/>
          <a:lstStyle/>
          <a:p>
            <a:pPr>
              <a:defRPr sz="11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ar-SA" sz="1100">
                <a:solidFill>
                  <a:schemeClr val="bg1"/>
                </a:solidFill>
              </a:rPr>
              <a:t>Countries Diversity Over Years</a:t>
            </a:r>
            <a:endParaRPr lang="en-GB" sz="1100">
              <a:solidFill>
                <a:schemeClr val="bg1"/>
              </a:solidFill>
            </a:endParaRPr>
          </a:p>
        </c:rich>
      </c:tx>
      <c:layout>
        <c:manualLayout>
          <c:xMode val="edge"/>
          <c:yMode val="edge"/>
          <c:x val="0.30329445406902011"/>
          <c:y val="2.7960963266192775E-2"/>
        </c:manualLayout>
      </c:layout>
      <c:overlay val="0"/>
      <c:spPr>
        <a:noFill/>
        <a:ln>
          <a:noFill/>
        </a:ln>
        <a:effectLst/>
      </c:spPr>
      <c:txPr>
        <a:bodyPr rot="0" spcFirstLastPara="1" vertOverflow="ellipsis" vert="horz" wrap="square" anchor="ctr" anchorCtr="1"/>
        <a:lstStyle/>
        <a:p>
          <a:pPr>
            <a:defRPr sz="11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bg1"/>
            </a:soli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SA"/>
            </a:p>
          </c:txPr>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bg1"/>
            </a:solidFill>
            <a:ln w="9525">
              <a:solidFill>
                <a:schemeClr val="accent1"/>
              </a:solidFill>
              <a:round/>
            </a:ln>
            <a:effectLst>
              <a:outerShdw blurRad="57150" dist="19050" dir="5400000" algn="ctr" rotWithShape="0">
                <a:srgbClr val="000000">
                  <a:alpha val="63000"/>
                </a:srgbClr>
              </a:outerShdw>
            </a:effectLst>
          </c:spPr>
        </c:marker>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bg1"/>
            </a:solidFill>
            <a:ln w="9525">
              <a:solidFill>
                <a:schemeClr val="accent1"/>
              </a:solidFill>
              <a:round/>
            </a:ln>
            <a:effectLst>
              <a:outerShdw blurRad="57150" dist="19050" dir="5400000" algn="ctr" rotWithShape="0">
                <a:srgbClr val="000000">
                  <a:alpha val="63000"/>
                </a:srgbClr>
              </a:outerShdw>
            </a:effectLst>
          </c:spPr>
        </c:marker>
      </c:pivotFmt>
    </c:pivotFmts>
    <c:plotArea>
      <c:layout/>
      <c:lineChart>
        <c:grouping val="stacked"/>
        <c:varyColors val="0"/>
        <c:ser>
          <c:idx val="0"/>
          <c:order val="0"/>
          <c:tx>
            <c:strRef>
              <c:f>Pivots!$B$115</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bg1"/>
              </a:soli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SA"/>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Pivots!$A$116:$A$119</c:f>
              <c:strCache>
                <c:ptCount val="3"/>
                <c:pt idx="0">
                  <c:v>2019</c:v>
                </c:pt>
                <c:pt idx="1">
                  <c:v>2020</c:v>
                </c:pt>
                <c:pt idx="2">
                  <c:v>2021</c:v>
                </c:pt>
              </c:strCache>
            </c:strRef>
          </c:cat>
          <c:val>
            <c:numRef>
              <c:f>Pivots!$B$116:$B$119</c:f>
              <c:numCache>
                <c:formatCode>General</c:formatCode>
                <c:ptCount val="3"/>
                <c:pt idx="0">
                  <c:v>49</c:v>
                </c:pt>
                <c:pt idx="1">
                  <c:v>28</c:v>
                </c:pt>
                <c:pt idx="2">
                  <c:v>34</c:v>
                </c:pt>
              </c:numCache>
            </c:numRef>
          </c:val>
          <c:smooth val="0"/>
          <c:extLst>
            <c:ext xmlns:c16="http://schemas.microsoft.com/office/drawing/2014/chart" uri="{C3380CC4-5D6E-409C-BE32-E72D297353CC}">
              <c16:uniqueId val="{00000000-D7FD-4EE9-B717-5553148B826C}"/>
            </c:ext>
          </c:extLst>
        </c:ser>
        <c:dLbls>
          <c:showLegendKey val="0"/>
          <c:showVal val="0"/>
          <c:showCatName val="0"/>
          <c:showSerName val="0"/>
          <c:showPercent val="0"/>
          <c:showBubbleSize val="0"/>
        </c:dLbls>
        <c:marker val="1"/>
        <c:smooth val="0"/>
        <c:axId val="2122997088"/>
        <c:axId val="1992056768"/>
      </c:lineChart>
      <c:catAx>
        <c:axId val="212299708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SA"/>
          </a:p>
        </c:txPr>
        <c:crossAx val="1992056768"/>
        <c:crosses val="autoZero"/>
        <c:auto val="1"/>
        <c:lblAlgn val="ctr"/>
        <c:lblOffset val="100"/>
        <c:noMultiLvlLbl val="0"/>
      </c:catAx>
      <c:valAx>
        <c:axId val="199205676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SA"/>
          </a:p>
        </c:txPr>
        <c:crossAx val="212299708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081F44"/>
    </a:solidFill>
    <a:ln w="19050">
      <a:solidFill>
        <a:srgbClr val="8EA2D7"/>
      </a:solidFill>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[Excel_Task (1).xlsx]Pivots!PT5_CountryGenre</c:name>
    <c:fmtId val="3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Pivots!$B$83:$B$84</c:f>
              <c:strCache>
                <c:ptCount val="1"/>
                <c:pt idx="0">
                  <c:v>Action-Adventure</c:v>
                </c:pt>
              </c:strCache>
            </c:strRef>
          </c:tx>
          <c:spPr>
            <a:solidFill>
              <a:schemeClr val="accent1"/>
            </a:solidFill>
            <a:ln>
              <a:noFill/>
            </a:ln>
            <a:effectLst/>
          </c:spPr>
          <c:invertIfNegative val="0"/>
          <c:cat>
            <c:strRef>
              <c:f>Pivots!$A$85:$A$95</c:f>
              <c:strCache>
                <c:ptCount val="10"/>
                <c:pt idx="0">
                  <c:v>Canada, United States</c:v>
                </c:pt>
                <c:pt idx="1">
                  <c:v>United Kingdom</c:v>
                </c:pt>
                <c:pt idx="2">
                  <c:v>United Kingdom, Canada, United States</c:v>
                </c:pt>
                <c:pt idx="3">
                  <c:v>United Kingdom, United States</c:v>
                </c:pt>
                <c:pt idx="4">
                  <c:v>United States</c:v>
                </c:pt>
                <c:pt idx="5">
                  <c:v>United States, Australia</c:v>
                </c:pt>
                <c:pt idx="6">
                  <c:v>United States, Canada</c:v>
                </c:pt>
                <c:pt idx="7">
                  <c:v>United States, France</c:v>
                </c:pt>
                <c:pt idx="8">
                  <c:v>United States, United Kingdom</c:v>
                </c:pt>
                <c:pt idx="9">
                  <c:v>Unknown Country</c:v>
                </c:pt>
              </c:strCache>
            </c:strRef>
          </c:cat>
          <c:val>
            <c:numRef>
              <c:f>Pivots!$B$85:$B$95</c:f>
              <c:numCache>
                <c:formatCode>General</c:formatCode>
                <c:ptCount val="10"/>
                <c:pt idx="0">
                  <c:v>5</c:v>
                </c:pt>
                <c:pt idx="1">
                  <c:v>3</c:v>
                </c:pt>
                <c:pt idx="2">
                  <c:v>1</c:v>
                </c:pt>
                <c:pt idx="3">
                  <c:v>9</c:v>
                </c:pt>
                <c:pt idx="4">
                  <c:v>310</c:v>
                </c:pt>
                <c:pt idx="5">
                  <c:v>7</c:v>
                </c:pt>
                <c:pt idx="6">
                  <c:v>11</c:v>
                </c:pt>
                <c:pt idx="7">
                  <c:v>2</c:v>
                </c:pt>
                <c:pt idx="8">
                  <c:v>11</c:v>
                </c:pt>
                <c:pt idx="9">
                  <c:v>42</c:v>
                </c:pt>
              </c:numCache>
            </c:numRef>
          </c:val>
          <c:extLst>
            <c:ext xmlns:c16="http://schemas.microsoft.com/office/drawing/2014/chart" uri="{C3380CC4-5D6E-409C-BE32-E72D297353CC}">
              <c16:uniqueId val="{00000000-FC89-4D8B-A878-5847EDA7F262}"/>
            </c:ext>
          </c:extLst>
        </c:ser>
        <c:ser>
          <c:idx val="1"/>
          <c:order val="1"/>
          <c:tx>
            <c:strRef>
              <c:f>Pivots!$C$83:$C$84</c:f>
              <c:strCache>
                <c:ptCount val="1"/>
                <c:pt idx="0">
                  <c:v>Animals &amp; Nature</c:v>
                </c:pt>
              </c:strCache>
            </c:strRef>
          </c:tx>
          <c:spPr>
            <a:solidFill>
              <a:schemeClr val="accent4">
                <a:lumMod val="60000"/>
                <a:lumOff val="40000"/>
              </a:schemeClr>
            </a:solidFill>
            <a:ln>
              <a:noFill/>
            </a:ln>
            <a:effectLst/>
          </c:spPr>
          <c:invertIfNegative val="0"/>
          <c:cat>
            <c:strRef>
              <c:f>Pivots!$A$85:$A$95</c:f>
              <c:strCache>
                <c:ptCount val="10"/>
                <c:pt idx="0">
                  <c:v>Canada, United States</c:v>
                </c:pt>
                <c:pt idx="1">
                  <c:v>United Kingdom</c:v>
                </c:pt>
                <c:pt idx="2">
                  <c:v>United Kingdom, Canada, United States</c:v>
                </c:pt>
                <c:pt idx="3">
                  <c:v>United Kingdom, United States</c:v>
                </c:pt>
                <c:pt idx="4">
                  <c:v>United States</c:v>
                </c:pt>
                <c:pt idx="5">
                  <c:v>United States, Australia</c:v>
                </c:pt>
                <c:pt idx="6">
                  <c:v>United States, Canada</c:v>
                </c:pt>
                <c:pt idx="7">
                  <c:v>United States, France</c:v>
                </c:pt>
                <c:pt idx="8">
                  <c:v>United States, United Kingdom</c:v>
                </c:pt>
                <c:pt idx="9">
                  <c:v>Unknown Country</c:v>
                </c:pt>
              </c:strCache>
            </c:strRef>
          </c:cat>
          <c:val>
            <c:numRef>
              <c:f>Pivots!$C$85:$C$95</c:f>
              <c:numCache>
                <c:formatCode>General</c:formatCode>
                <c:ptCount val="10"/>
                <c:pt idx="1">
                  <c:v>5</c:v>
                </c:pt>
                <c:pt idx="4">
                  <c:v>92</c:v>
                </c:pt>
                <c:pt idx="6">
                  <c:v>1</c:v>
                </c:pt>
                <c:pt idx="8">
                  <c:v>2</c:v>
                </c:pt>
                <c:pt idx="9">
                  <c:v>60</c:v>
                </c:pt>
              </c:numCache>
            </c:numRef>
          </c:val>
          <c:extLst>
            <c:ext xmlns:c16="http://schemas.microsoft.com/office/drawing/2014/chart" uri="{C3380CC4-5D6E-409C-BE32-E72D297353CC}">
              <c16:uniqueId val="{00000001-FC89-4D8B-A878-5847EDA7F262}"/>
            </c:ext>
          </c:extLst>
        </c:ser>
        <c:ser>
          <c:idx val="2"/>
          <c:order val="2"/>
          <c:tx>
            <c:strRef>
              <c:f>Pivots!$D$83:$D$84</c:f>
              <c:strCache>
                <c:ptCount val="1"/>
                <c:pt idx="0">
                  <c:v>Animation</c:v>
                </c:pt>
              </c:strCache>
            </c:strRef>
          </c:tx>
          <c:spPr>
            <a:solidFill>
              <a:srgbClr val="0070C0"/>
            </a:solidFill>
            <a:ln>
              <a:noFill/>
            </a:ln>
            <a:effectLst/>
          </c:spPr>
          <c:invertIfNegative val="0"/>
          <c:cat>
            <c:strRef>
              <c:f>Pivots!$A$85:$A$95</c:f>
              <c:strCache>
                <c:ptCount val="10"/>
                <c:pt idx="0">
                  <c:v>Canada, United States</c:v>
                </c:pt>
                <c:pt idx="1">
                  <c:v>United Kingdom</c:v>
                </c:pt>
                <c:pt idx="2">
                  <c:v>United Kingdom, Canada, United States</c:v>
                </c:pt>
                <c:pt idx="3">
                  <c:v>United Kingdom, United States</c:v>
                </c:pt>
                <c:pt idx="4">
                  <c:v>United States</c:v>
                </c:pt>
                <c:pt idx="5">
                  <c:v>United States, Australia</c:v>
                </c:pt>
                <c:pt idx="6">
                  <c:v>United States, Canada</c:v>
                </c:pt>
                <c:pt idx="7">
                  <c:v>United States, France</c:v>
                </c:pt>
                <c:pt idx="8">
                  <c:v>United States, United Kingdom</c:v>
                </c:pt>
                <c:pt idx="9">
                  <c:v>Unknown Country</c:v>
                </c:pt>
              </c:strCache>
            </c:strRef>
          </c:cat>
          <c:val>
            <c:numRef>
              <c:f>Pivots!$D$85:$D$95</c:f>
              <c:numCache>
                <c:formatCode>General</c:formatCode>
                <c:ptCount val="10"/>
                <c:pt idx="0">
                  <c:v>1</c:v>
                </c:pt>
                <c:pt idx="1">
                  <c:v>1</c:v>
                </c:pt>
                <c:pt idx="4">
                  <c:v>253</c:v>
                </c:pt>
                <c:pt idx="5">
                  <c:v>1</c:v>
                </c:pt>
                <c:pt idx="6">
                  <c:v>3</c:v>
                </c:pt>
                <c:pt idx="8">
                  <c:v>2</c:v>
                </c:pt>
                <c:pt idx="9">
                  <c:v>40</c:v>
                </c:pt>
              </c:numCache>
            </c:numRef>
          </c:val>
          <c:extLst>
            <c:ext xmlns:c16="http://schemas.microsoft.com/office/drawing/2014/chart" uri="{C3380CC4-5D6E-409C-BE32-E72D297353CC}">
              <c16:uniqueId val="{00000002-FC89-4D8B-A878-5847EDA7F262}"/>
            </c:ext>
          </c:extLst>
        </c:ser>
        <c:ser>
          <c:idx val="3"/>
          <c:order val="3"/>
          <c:tx>
            <c:strRef>
              <c:f>Pivots!$E$83:$E$84</c:f>
              <c:strCache>
                <c:ptCount val="1"/>
                <c:pt idx="0">
                  <c:v>Comedy</c:v>
                </c:pt>
              </c:strCache>
            </c:strRef>
          </c:tx>
          <c:spPr>
            <a:solidFill>
              <a:schemeClr val="accent4"/>
            </a:solidFill>
            <a:ln>
              <a:noFill/>
            </a:ln>
            <a:effectLst/>
          </c:spPr>
          <c:invertIfNegative val="0"/>
          <c:cat>
            <c:strRef>
              <c:f>Pivots!$A$85:$A$95</c:f>
              <c:strCache>
                <c:ptCount val="10"/>
                <c:pt idx="0">
                  <c:v>Canada, United States</c:v>
                </c:pt>
                <c:pt idx="1">
                  <c:v>United Kingdom</c:v>
                </c:pt>
                <c:pt idx="2">
                  <c:v>United Kingdom, Canada, United States</c:v>
                </c:pt>
                <c:pt idx="3">
                  <c:v>United Kingdom, United States</c:v>
                </c:pt>
                <c:pt idx="4">
                  <c:v>United States</c:v>
                </c:pt>
                <c:pt idx="5">
                  <c:v>United States, Australia</c:v>
                </c:pt>
                <c:pt idx="6">
                  <c:v>United States, Canada</c:v>
                </c:pt>
                <c:pt idx="7">
                  <c:v>United States, France</c:v>
                </c:pt>
                <c:pt idx="8">
                  <c:v>United States, United Kingdom</c:v>
                </c:pt>
                <c:pt idx="9">
                  <c:v>Unknown Country</c:v>
                </c:pt>
              </c:strCache>
            </c:strRef>
          </c:cat>
          <c:val>
            <c:numRef>
              <c:f>Pivots!$E$85:$E$95</c:f>
              <c:numCache>
                <c:formatCode>General</c:formatCode>
                <c:ptCount val="10"/>
                <c:pt idx="0">
                  <c:v>5</c:v>
                </c:pt>
                <c:pt idx="3">
                  <c:v>3</c:v>
                </c:pt>
                <c:pt idx="4">
                  <c:v>152</c:v>
                </c:pt>
                <c:pt idx="6">
                  <c:v>10</c:v>
                </c:pt>
                <c:pt idx="7">
                  <c:v>1</c:v>
                </c:pt>
                <c:pt idx="8">
                  <c:v>5</c:v>
                </c:pt>
                <c:pt idx="9">
                  <c:v>13</c:v>
                </c:pt>
              </c:numCache>
            </c:numRef>
          </c:val>
          <c:extLst>
            <c:ext xmlns:c16="http://schemas.microsoft.com/office/drawing/2014/chart" uri="{C3380CC4-5D6E-409C-BE32-E72D297353CC}">
              <c16:uniqueId val="{00000003-FC89-4D8B-A878-5847EDA7F262}"/>
            </c:ext>
          </c:extLst>
        </c:ser>
        <c:ser>
          <c:idx val="4"/>
          <c:order val="4"/>
          <c:tx>
            <c:strRef>
              <c:f>Pivots!$F$83:$F$84</c:f>
              <c:strCache>
                <c:ptCount val="1"/>
                <c:pt idx="0">
                  <c:v>Documentary</c:v>
                </c:pt>
              </c:strCache>
            </c:strRef>
          </c:tx>
          <c:spPr>
            <a:solidFill>
              <a:schemeClr val="accent4">
                <a:lumMod val="20000"/>
                <a:lumOff val="80000"/>
              </a:schemeClr>
            </a:solidFill>
            <a:ln>
              <a:noFill/>
            </a:ln>
            <a:effectLst/>
          </c:spPr>
          <c:invertIfNegative val="0"/>
          <c:cat>
            <c:strRef>
              <c:f>Pivots!$A$85:$A$95</c:f>
              <c:strCache>
                <c:ptCount val="10"/>
                <c:pt idx="0">
                  <c:v>Canada, United States</c:v>
                </c:pt>
                <c:pt idx="1">
                  <c:v>United Kingdom</c:v>
                </c:pt>
                <c:pt idx="2">
                  <c:v>United Kingdom, Canada, United States</c:v>
                </c:pt>
                <c:pt idx="3">
                  <c:v>United Kingdom, United States</c:v>
                </c:pt>
                <c:pt idx="4">
                  <c:v>United States</c:v>
                </c:pt>
                <c:pt idx="5">
                  <c:v>United States, Australia</c:v>
                </c:pt>
                <c:pt idx="6">
                  <c:v>United States, Canada</c:v>
                </c:pt>
                <c:pt idx="7">
                  <c:v>United States, France</c:v>
                </c:pt>
                <c:pt idx="8">
                  <c:v>United States, United Kingdom</c:v>
                </c:pt>
                <c:pt idx="9">
                  <c:v>Unknown Country</c:v>
                </c:pt>
              </c:strCache>
            </c:strRef>
          </c:cat>
          <c:val>
            <c:numRef>
              <c:f>Pivots!$F$85:$F$95</c:f>
              <c:numCache>
                <c:formatCode>General</c:formatCode>
                <c:ptCount val="10"/>
                <c:pt idx="1">
                  <c:v>7</c:v>
                </c:pt>
                <c:pt idx="2">
                  <c:v>2</c:v>
                </c:pt>
                <c:pt idx="4">
                  <c:v>39</c:v>
                </c:pt>
                <c:pt idx="9">
                  <c:v>14</c:v>
                </c:pt>
              </c:numCache>
            </c:numRef>
          </c:val>
          <c:extLst>
            <c:ext xmlns:c16="http://schemas.microsoft.com/office/drawing/2014/chart" uri="{C3380CC4-5D6E-409C-BE32-E72D297353CC}">
              <c16:uniqueId val="{00000004-FC89-4D8B-A878-5847EDA7F262}"/>
            </c:ext>
          </c:extLst>
        </c:ser>
        <c:dLbls>
          <c:showLegendKey val="0"/>
          <c:showVal val="0"/>
          <c:showCatName val="0"/>
          <c:showSerName val="0"/>
          <c:showPercent val="0"/>
          <c:showBubbleSize val="0"/>
        </c:dLbls>
        <c:gapWidth val="150"/>
        <c:overlap val="100"/>
        <c:axId val="1159229231"/>
        <c:axId val="893287839"/>
      </c:barChart>
      <c:catAx>
        <c:axId val="1159229231"/>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SA"/>
          </a:p>
        </c:txPr>
        <c:crossAx val="893287839"/>
        <c:crosses val="autoZero"/>
        <c:auto val="1"/>
        <c:lblAlgn val="ctr"/>
        <c:lblOffset val="100"/>
        <c:noMultiLvlLbl val="0"/>
      </c:catAx>
      <c:valAx>
        <c:axId val="893287839"/>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SA"/>
          </a:p>
        </c:txPr>
        <c:crossAx val="1159229231"/>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81F44"/>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ar-SA"/>
              <a:t>Unknown vs Known Country Data</a:t>
            </a:r>
            <a:endParaRPr lang="en-GB"/>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lotArea>
      <c:layout/>
      <c:doughnutChart>
        <c:varyColors val="1"/>
        <c:ser>
          <c:idx val="1"/>
          <c:order val="0"/>
          <c:tx>
            <c:v>Series1</c:v>
          </c:tx>
          <c:spPr>
            <a:solidFill>
              <a:srgbClr val="4569AD"/>
            </a:solidFill>
          </c:spPr>
          <c:dPt>
            <c:idx val="0"/>
            <c:bubble3D val="0"/>
            <c:spPr>
              <a:solidFill>
                <a:srgbClr val="4569AD"/>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B389-4C5C-B68C-94BB23DCF415}"/>
              </c:ext>
            </c:extLst>
          </c:dPt>
          <c:dPt>
            <c:idx val="1"/>
            <c:bubble3D val="0"/>
            <c:spPr>
              <a:solidFill>
                <a:srgbClr val="B7C3E8"/>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B389-4C5C-B68C-94BB23DCF415}"/>
              </c:ext>
            </c:extLst>
          </c:dPt>
          <c:cat>
            <c:strLit>
              <c:ptCount val="2"/>
              <c:pt idx="0">
                <c:v>1</c:v>
              </c:pt>
              <c:pt idx="1">
                <c:v>2</c:v>
              </c:pt>
            </c:strLit>
          </c:cat>
          <c:val>
            <c:numLit>
              <c:formatCode>General</c:formatCode>
              <c:ptCount val="2"/>
              <c:pt idx="0">
                <c:v>219</c:v>
              </c:pt>
              <c:pt idx="1">
                <c:v>1126</c:v>
              </c:pt>
            </c:numLit>
          </c:val>
          <c:extLst>
            <c:ext xmlns:c16="http://schemas.microsoft.com/office/drawing/2014/chart" uri="{C3380CC4-5D6E-409C-BE32-E72D297353CC}">
              <c16:uniqueId val="{0000000B-B389-4C5C-B68C-94BB23DCF415}"/>
            </c:ext>
          </c:extLst>
        </c:ser>
        <c:ser>
          <c:idx val="0"/>
          <c:order val="1"/>
          <c:tx>
            <c:v>Series1</c:v>
          </c:tx>
          <c:spPr>
            <a:solidFill>
              <a:srgbClr val="4569AD"/>
            </a:solidFill>
          </c:spPr>
          <c:dPt>
            <c:idx val="0"/>
            <c:bubble3D val="0"/>
            <c:spPr>
              <a:solidFill>
                <a:srgbClr val="4569AD"/>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389-4C5C-B68C-94BB23DCF415}"/>
              </c:ext>
            </c:extLst>
          </c:dPt>
          <c:dPt>
            <c:idx val="1"/>
            <c:bubble3D val="0"/>
            <c:spPr>
              <a:solidFill>
                <a:srgbClr val="B7C3E8"/>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389-4C5C-B68C-94BB23DCF415}"/>
              </c:ext>
            </c:extLst>
          </c:dPt>
          <c:dLbls>
            <c:dLbl>
              <c:idx val="0"/>
              <c:tx>
                <c:rich>
                  <a:bodyPr/>
                  <a:lstStyle/>
                  <a:p>
                    <a:fld id="{49EDE460-9471-482C-882A-96E4E2ADA2BC}" type="PERCENTAGE">
                      <a:rPr lang="en-US" sz="1400" b="1">
                        <a:solidFill>
                          <a:schemeClr val="bg1"/>
                        </a:solidFill>
                      </a:rPr>
                      <a:pPr/>
                      <a:t>[PERCENTAGE]</a:t>
                    </a:fld>
                    <a:endParaRPr lang="ar-SA"/>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B389-4C5C-B68C-94BB23DCF415}"/>
                </c:ext>
              </c:extLst>
            </c:dLbl>
            <c:dLbl>
              <c:idx val="1"/>
              <c:tx>
                <c:rich>
                  <a:bodyPr/>
                  <a:lstStyle/>
                  <a:p>
                    <a:fld id="{B72AA2E1-EFA4-4D3B-8F34-89B070FB278D}" type="PERCENTAGE">
                      <a:rPr lang="en-US" sz="1400" b="1">
                        <a:solidFill>
                          <a:schemeClr val="bg1"/>
                        </a:solidFill>
                      </a:rPr>
                      <a:pPr/>
                      <a:t>[PERCENTAGE]</a:t>
                    </a:fld>
                    <a:endParaRPr lang="ar-SA"/>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B389-4C5C-B68C-94BB23DCF41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s>
          <c:cat>
            <c:strLit>
              <c:ptCount val="2"/>
              <c:pt idx="0">
                <c:v>1</c:v>
              </c:pt>
              <c:pt idx="1">
                <c:v>2</c:v>
              </c:pt>
            </c:strLit>
          </c:cat>
          <c:val>
            <c:numLit>
              <c:formatCode>General</c:formatCode>
              <c:ptCount val="2"/>
              <c:pt idx="0">
                <c:v>219</c:v>
              </c:pt>
              <c:pt idx="1">
                <c:v>1126</c:v>
              </c:pt>
            </c:numLit>
          </c:val>
          <c:extLst>
            <c:ext xmlns:c16="http://schemas.microsoft.com/office/drawing/2014/chart" uri="{C3380CC4-5D6E-409C-BE32-E72D297353CC}">
              <c16:uniqueId val="{0000000A-B389-4C5C-B68C-94BB23DCF415}"/>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chart>
  <c:spPr>
    <a:solidFill>
      <a:srgbClr val="081F44"/>
    </a:solidFill>
    <a:ln w="19050">
      <a:solidFill>
        <a:srgbClr val="8EA2D7"/>
      </a:solidFill>
    </a:ln>
    <a:effectLst/>
  </c:spPr>
  <c:txPr>
    <a:bodyPr/>
    <a:lstStyle/>
    <a:p>
      <a:pPr>
        <a:defRPr/>
      </a:pPr>
      <a:endParaRPr lang="ar-SA"/>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[Excel_Task (1).xlsx]Pivots!PT1_Countries</c:name>
    <c:fmtId val="30"/>
  </c:pivotSource>
  <c:chart>
    <c:title>
      <c:tx>
        <c:rich>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r>
              <a:rPr lang="en-GB">
                <a:solidFill>
                  <a:schemeClr val="bg1"/>
                </a:solidFill>
              </a:rPr>
              <a:t>Top Countries by Number of Titles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ar-SA"/>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569AD"/>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SA"/>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4569AD"/>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SA"/>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4569AD"/>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SA"/>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4569AD"/>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SA"/>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92147856517935"/>
          <c:y val="0.26328484981044037"/>
          <c:w val="0.32681496062992127"/>
          <c:h val="0.63264909594634"/>
        </c:manualLayout>
      </c:layout>
      <c:barChart>
        <c:barDir val="bar"/>
        <c:grouping val="clustered"/>
        <c:varyColors val="0"/>
        <c:ser>
          <c:idx val="0"/>
          <c:order val="0"/>
          <c:tx>
            <c:strRef>
              <c:f>Pivots!$B$3</c:f>
              <c:strCache>
                <c:ptCount val="1"/>
                <c:pt idx="0">
                  <c:v>Total</c:v>
                </c:pt>
              </c:strCache>
            </c:strRef>
          </c:tx>
          <c:spPr>
            <a:solidFill>
              <a:srgbClr val="4569AD"/>
            </a:solid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SA"/>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Pivots!$A$4:$A$14</c:f>
              <c:strCache>
                <c:ptCount val="10"/>
                <c:pt idx="0">
                  <c:v>United States</c:v>
                </c:pt>
                <c:pt idx="1">
                  <c:v>Unknown Country</c:v>
                </c:pt>
                <c:pt idx="2">
                  <c:v>United States, Canada</c:v>
                </c:pt>
                <c:pt idx="3">
                  <c:v>United Kingdom</c:v>
                </c:pt>
                <c:pt idx="4">
                  <c:v>United States, United Kingdom</c:v>
                </c:pt>
                <c:pt idx="5">
                  <c:v>Canada, United States</c:v>
                </c:pt>
                <c:pt idx="6">
                  <c:v>United Kingdom, United States</c:v>
                </c:pt>
                <c:pt idx="7">
                  <c:v>United States, Australia</c:v>
                </c:pt>
                <c:pt idx="8">
                  <c:v>Canada</c:v>
                </c:pt>
                <c:pt idx="9">
                  <c:v>United States, France</c:v>
                </c:pt>
              </c:strCache>
            </c:strRef>
          </c:cat>
          <c:val>
            <c:numRef>
              <c:f>Pivots!$B$4:$B$14</c:f>
              <c:numCache>
                <c:formatCode>General</c:formatCode>
                <c:ptCount val="10"/>
                <c:pt idx="0">
                  <c:v>1003</c:v>
                </c:pt>
                <c:pt idx="1">
                  <c:v>219</c:v>
                </c:pt>
                <c:pt idx="2">
                  <c:v>30</c:v>
                </c:pt>
                <c:pt idx="3">
                  <c:v>23</c:v>
                </c:pt>
                <c:pt idx="4">
                  <c:v>22</c:v>
                </c:pt>
                <c:pt idx="5">
                  <c:v>17</c:v>
                </c:pt>
                <c:pt idx="6">
                  <c:v>14</c:v>
                </c:pt>
                <c:pt idx="7">
                  <c:v>8</c:v>
                </c:pt>
                <c:pt idx="8">
                  <c:v>5</c:v>
                </c:pt>
                <c:pt idx="9">
                  <c:v>4</c:v>
                </c:pt>
              </c:numCache>
            </c:numRef>
          </c:val>
          <c:extLst>
            <c:ext xmlns:c16="http://schemas.microsoft.com/office/drawing/2014/chart" uri="{C3380CC4-5D6E-409C-BE32-E72D297353CC}">
              <c16:uniqueId val="{00000004-8745-4C87-84D9-F35E6928246A}"/>
            </c:ext>
          </c:extLst>
        </c:ser>
        <c:dLbls>
          <c:showLegendKey val="0"/>
          <c:showVal val="0"/>
          <c:showCatName val="0"/>
          <c:showSerName val="0"/>
          <c:showPercent val="0"/>
          <c:showBubbleSize val="0"/>
        </c:dLbls>
        <c:gapWidth val="182"/>
        <c:overlap val="-50"/>
        <c:axId val="1005524144"/>
        <c:axId val="1006442144"/>
      </c:barChart>
      <c:catAx>
        <c:axId val="1005524144"/>
        <c:scaling>
          <c:orientation val="minMax"/>
        </c:scaling>
        <c:delete val="0"/>
        <c:axPos val="r"/>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SA"/>
          </a:p>
        </c:txPr>
        <c:crossAx val="1006442144"/>
        <c:crosses val="autoZero"/>
        <c:auto val="1"/>
        <c:lblAlgn val="ctr"/>
        <c:lblOffset val="100"/>
        <c:noMultiLvlLbl val="0"/>
      </c:catAx>
      <c:valAx>
        <c:axId val="1006442144"/>
        <c:scaling>
          <c:orientation val="maxMin"/>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SA"/>
          </a:p>
        </c:txPr>
        <c:crossAx val="1005524144"/>
        <c:crosses val="autoZero"/>
        <c:crossBetween val="between"/>
      </c:valAx>
      <c:spPr>
        <a:noFill/>
        <a:ln>
          <a:noFill/>
        </a:ln>
        <a:effectLst/>
      </c:spPr>
    </c:plotArea>
    <c:plotVisOnly val="1"/>
    <c:dispBlanksAs val="gap"/>
    <c:showDLblsOverMax val="0"/>
    <c:extLst/>
  </c:chart>
  <c:spPr>
    <a:solidFill>
      <a:srgbClr val="081F44"/>
    </a:solidFill>
    <a:ln w="19050" cap="flat" cmpd="sng" algn="ctr">
      <a:solidFill>
        <a:srgbClr val="8EA2D7"/>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[Excel_Task (1).xlsx]Pivots!PT3_Directors</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Top 10 Directors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1F3F74"/>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SA"/>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F3F74"/>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SA"/>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F3F74"/>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SA"/>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F3F74"/>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SA"/>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Pivots!$B$39</c:f>
              <c:strCache>
                <c:ptCount val="1"/>
                <c:pt idx="0">
                  <c:v>Total</c:v>
                </c:pt>
              </c:strCache>
            </c:strRef>
          </c:tx>
          <c:spPr>
            <a:solidFill>
              <a:srgbClr val="1F3F74"/>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SA"/>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Pivots!$A$40:$A$50</c:f>
              <c:strCache>
                <c:ptCount val="10"/>
                <c:pt idx="0">
                  <c:v>Unknown Director</c:v>
                </c:pt>
                <c:pt idx="1">
                  <c:v>Jack Hannah</c:v>
                </c:pt>
                <c:pt idx="2">
                  <c:v>Paul Hoen</c:v>
                </c:pt>
                <c:pt idx="3">
                  <c:v>John Lasseter</c:v>
                </c:pt>
                <c:pt idx="4">
                  <c:v>Wilfred Jackson</c:v>
                </c:pt>
                <c:pt idx="5">
                  <c:v>Charles Nichols</c:v>
                </c:pt>
                <c:pt idx="6">
                  <c:v>Robert Stevenson</c:v>
                </c:pt>
                <c:pt idx="7">
                  <c:v>Bob Peterson</c:v>
                </c:pt>
                <c:pt idx="8">
                  <c:v>Vincent McEveety</c:v>
                </c:pt>
                <c:pt idx="9">
                  <c:v>Jack Kinney</c:v>
                </c:pt>
              </c:strCache>
            </c:strRef>
          </c:cat>
          <c:val>
            <c:numRef>
              <c:f>Pivots!$B$40:$B$50</c:f>
              <c:numCache>
                <c:formatCode>General</c:formatCode>
                <c:ptCount val="10"/>
                <c:pt idx="0">
                  <c:v>470</c:v>
                </c:pt>
                <c:pt idx="1">
                  <c:v>17</c:v>
                </c:pt>
                <c:pt idx="2">
                  <c:v>16</c:v>
                </c:pt>
                <c:pt idx="3">
                  <c:v>16</c:v>
                </c:pt>
                <c:pt idx="4">
                  <c:v>14</c:v>
                </c:pt>
                <c:pt idx="5">
                  <c:v>12</c:v>
                </c:pt>
                <c:pt idx="6">
                  <c:v>12</c:v>
                </c:pt>
                <c:pt idx="7">
                  <c:v>10</c:v>
                </c:pt>
                <c:pt idx="8">
                  <c:v>10</c:v>
                </c:pt>
                <c:pt idx="9">
                  <c:v>9</c:v>
                </c:pt>
              </c:numCache>
            </c:numRef>
          </c:val>
          <c:extLst>
            <c:ext xmlns:c16="http://schemas.microsoft.com/office/drawing/2014/chart" uri="{C3380CC4-5D6E-409C-BE32-E72D297353CC}">
              <c16:uniqueId val="{00000002-2643-4176-997C-C615E98FB86D}"/>
            </c:ext>
          </c:extLst>
        </c:ser>
        <c:dLbls>
          <c:showLegendKey val="0"/>
          <c:showVal val="0"/>
          <c:showCatName val="0"/>
          <c:showSerName val="0"/>
          <c:showPercent val="0"/>
          <c:showBubbleSize val="0"/>
        </c:dLbls>
        <c:gapWidth val="115"/>
        <c:axId val="650888272"/>
        <c:axId val="1684786016"/>
      </c:barChart>
      <c:catAx>
        <c:axId val="650888272"/>
        <c:scaling>
          <c:orientation val="maxMin"/>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SA"/>
          </a:p>
        </c:txPr>
        <c:crossAx val="1684786016"/>
        <c:crosses val="autoZero"/>
        <c:auto val="1"/>
        <c:lblAlgn val="ctr"/>
        <c:lblOffset val="100"/>
        <c:noMultiLvlLbl val="0"/>
      </c:catAx>
      <c:valAx>
        <c:axId val="1684786016"/>
        <c:scaling>
          <c:orientation val="minMax"/>
        </c:scaling>
        <c:delete val="0"/>
        <c:axPos val="r"/>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SA"/>
          </a:p>
        </c:txPr>
        <c:crossAx val="650888272"/>
        <c:crosses val="autoZero"/>
        <c:crossBetween val="between"/>
      </c:valAx>
      <c:spPr>
        <a:noFill/>
        <a:ln>
          <a:noFill/>
        </a:ln>
        <a:effectLst/>
      </c:spPr>
    </c:plotArea>
    <c:plotVisOnly val="1"/>
    <c:dispBlanksAs val="gap"/>
    <c:showDLblsOverMax val="0"/>
    <c:extLst/>
  </c:chart>
  <c:spPr>
    <a:solidFill>
      <a:srgbClr val="081F44"/>
    </a:solidFill>
    <a:ln w="19050">
      <a:solidFill>
        <a:srgbClr val="8EA2D7"/>
      </a:solidFill>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[Excel_Task (1).xlsx]Pivots!PT7_YearTrend</c:name>
    <c:fmtId val="49"/>
  </c:pivotSource>
  <c:chart>
    <c:title>
      <c:tx>
        <c:rich>
          <a:bodyPr rot="0" spcFirstLastPara="1" vertOverflow="ellipsis" vert="horz" wrap="square" anchor="ctr" anchorCtr="1"/>
          <a:lstStyle/>
          <a:p>
            <a:pPr>
              <a:defRPr sz="11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GB" sz="1100">
                <a:solidFill>
                  <a:schemeClr val="bg1"/>
                </a:solidFill>
              </a:rPr>
              <a:t>Countries Diversity Over Years</a:t>
            </a:r>
          </a:p>
        </c:rich>
      </c:tx>
      <c:overlay val="0"/>
      <c:spPr>
        <a:noFill/>
        <a:ln>
          <a:noFill/>
        </a:ln>
        <a:effectLst/>
      </c:spPr>
      <c:txPr>
        <a:bodyPr rot="0" spcFirstLastPara="1" vertOverflow="ellipsis" vert="horz" wrap="square" anchor="ctr" anchorCtr="1"/>
        <a:lstStyle/>
        <a:p>
          <a:pPr>
            <a:defRPr sz="11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bg1"/>
            </a:soli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SA"/>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bg1"/>
            </a:solidFill>
            <a:ln w="9525">
              <a:solidFill>
                <a:schemeClr val="accent1"/>
              </a:solidFill>
              <a:round/>
            </a:ln>
            <a:effectLst>
              <a:outerShdw blurRad="57150" dist="19050" dir="5400000" algn="ctr" rotWithShape="0">
                <a:srgbClr val="000000">
                  <a:alpha val="63000"/>
                </a:srgbClr>
              </a:outerShdw>
            </a:effectLst>
          </c:spPr>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bg1"/>
            </a:solidFill>
            <a:ln w="9525">
              <a:solidFill>
                <a:schemeClr val="accent1"/>
              </a:solidFill>
              <a:round/>
            </a:ln>
            <a:effectLst>
              <a:outerShdw blurRad="57150" dist="19050" dir="5400000" algn="ctr" rotWithShape="0">
                <a:srgbClr val="000000">
                  <a:alpha val="63000"/>
                </a:srgbClr>
              </a:outerShdw>
            </a:effectLst>
          </c:spPr>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bg1"/>
            </a:soli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SA"/>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bg1"/>
            </a:soli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SA"/>
            </a:p>
          </c:txP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bg1"/>
            </a:soli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SA"/>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Pivots!$B$115</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bg1"/>
              </a:soli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SA"/>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Pivots!$A$116:$A$119</c:f>
              <c:strCache>
                <c:ptCount val="3"/>
                <c:pt idx="0">
                  <c:v>2019</c:v>
                </c:pt>
                <c:pt idx="1">
                  <c:v>2020</c:v>
                </c:pt>
                <c:pt idx="2">
                  <c:v>2021</c:v>
                </c:pt>
              </c:strCache>
            </c:strRef>
          </c:cat>
          <c:val>
            <c:numRef>
              <c:f>Pivots!$B$116:$B$119</c:f>
              <c:numCache>
                <c:formatCode>General</c:formatCode>
                <c:ptCount val="3"/>
                <c:pt idx="0">
                  <c:v>49</c:v>
                </c:pt>
                <c:pt idx="1">
                  <c:v>28</c:v>
                </c:pt>
                <c:pt idx="2">
                  <c:v>34</c:v>
                </c:pt>
              </c:numCache>
            </c:numRef>
          </c:val>
          <c:smooth val="0"/>
          <c:extLst>
            <c:ext xmlns:c16="http://schemas.microsoft.com/office/drawing/2014/chart" uri="{C3380CC4-5D6E-409C-BE32-E72D297353CC}">
              <c16:uniqueId val="{00000004-11BB-4F05-BDD0-56B14533DB96}"/>
            </c:ext>
          </c:extLst>
        </c:ser>
        <c:dLbls>
          <c:showLegendKey val="0"/>
          <c:showVal val="0"/>
          <c:showCatName val="0"/>
          <c:showSerName val="0"/>
          <c:showPercent val="0"/>
          <c:showBubbleSize val="0"/>
        </c:dLbls>
        <c:marker val="1"/>
        <c:smooth val="0"/>
        <c:axId val="2122997088"/>
        <c:axId val="1992056768"/>
      </c:lineChart>
      <c:catAx>
        <c:axId val="212299708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SA"/>
          </a:p>
        </c:txPr>
        <c:crossAx val="1992056768"/>
        <c:crosses val="autoZero"/>
        <c:auto val="1"/>
        <c:lblAlgn val="ctr"/>
        <c:lblOffset val="100"/>
        <c:noMultiLvlLbl val="0"/>
      </c:catAx>
      <c:valAx>
        <c:axId val="199205676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SA"/>
          </a:p>
        </c:txPr>
        <c:crossAx val="2122997088"/>
        <c:crosses val="autoZero"/>
        <c:crossBetween val="between"/>
      </c:valAx>
      <c:spPr>
        <a:noFill/>
        <a:ln>
          <a:noFill/>
        </a:ln>
        <a:effectLst/>
      </c:spPr>
    </c:plotArea>
    <c:plotVisOnly val="1"/>
    <c:dispBlanksAs val="zero"/>
    <c:showDLblsOverMax val="0"/>
    <c:extLst/>
  </c:chart>
  <c:spPr>
    <a:solidFill>
      <a:srgbClr val="081F44"/>
    </a:solidFill>
    <a:ln w="19050">
      <a:solidFill>
        <a:srgbClr val="8EA2D7"/>
      </a:solidFill>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[Excel_Task (1).xlsx]Pivots!PT4_Cast</c:name>
    <c:fmtId val="2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GB">
                <a:solidFill>
                  <a:schemeClr val="bg1"/>
                </a:solidFill>
              </a:rPr>
              <a:t>Top 15 Cast Members </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GB"/>
        </a:p>
      </c:txPr>
    </c:title>
    <c:autoTitleDeleted val="0"/>
    <c:pivotFmts>
      <c:pivotFmt>
        <c:idx val="0"/>
        <c:spPr>
          <a:solidFill>
            <a:srgbClr val="8EA2D7"/>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SA"/>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8EA2D7"/>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SA"/>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8EA2D7"/>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SA"/>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8EA2D7"/>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SA"/>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Pivots!$B$59</c:f>
              <c:strCache>
                <c:ptCount val="1"/>
                <c:pt idx="0">
                  <c:v>Total</c:v>
                </c:pt>
              </c:strCache>
            </c:strRef>
          </c:tx>
          <c:spPr>
            <a:solidFill>
              <a:srgbClr val="8EA2D7"/>
            </a:solid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SA"/>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Pivots!$A$60:$A$75</c:f>
              <c:strCache>
                <c:ptCount val="15"/>
                <c:pt idx="0">
                  <c:v>Unknown Cast</c:v>
                </c:pt>
                <c:pt idx="1">
                  <c:v> Jim Cummings</c:v>
                </c:pt>
                <c:pt idx="2">
                  <c:v>Walt Disney</c:v>
                </c:pt>
                <c:pt idx="3">
                  <c:v> Corey Burton</c:v>
                </c:pt>
                <c:pt idx="4">
                  <c:v> Tress MacNeille</c:v>
                </c:pt>
                <c:pt idx="5">
                  <c:v> Bill Farmer</c:v>
                </c:pt>
                <c:pt idx="6">
                  <c:v> Jeff Bennett</c:v>
                </c:pt>
                <c:pt idx="7">
                  <c:v> Keith Ferguson</c:v>
                </c:pt>
                <c:pt idx="8">
                  <c:v> Wallace Shawn</c:v>
                </c:pt>
                <c:pt idx="9">
                  <c:v>Larry the Cable Guy</c:v>
                </c:pt>
                <c:pt idx="10">
                  <c:v> Bob Peterson</c:v>
                </c:pt>
                <c:pt idx="11">
                  <c:v> Russi Taylor</c:v>
                </c:pt>
                <c:pt idx="12">
                  <c:v>Tony Hale</c:v>
                </c:pt>
                <c:pt idx="13">
                  <c:v> Trevor Devall</c:v>
                </c:pt>
                <c:pt idx="14">
                  <c:v> Anthony Daniels</c:v>
                </c:pt>
              </c:strCache>
            </c:strRef>
          </c:cat>
          <c:val>
            <c:numRef>
              <c:f>Pivots!$B$60:$B$75</c:f>
              <c:numCache>
                <c:formatCode>General</c:formatCode>
                <c:ptCount val="15"/>
                <c:pt idx="0">
                  <c:v>190</c:v>
                </c:pt>
                <c:pt idx="1">
                  <c:v>24</c:v>
                </c:pt>
                <c:pt idx="2">
                  <c:v>15</c:v>
                </c:pt>
                <c:pt idx="3">
                  <c:v>15</c:v>
                </c:pt>
                <c:pt idx="4">
                  <c:v>14</c:v>
                </c:pt>
                <c:pt idx="5">
                  <c:v>14</c:v>
                </c:pt>
                <c:pt idx="6">
                  <c:v>14</c:v>
                </c:pt>
                <c:pt idx="7">
                  <c:v>14</c:v>
                </c:pt>
                <c:pt idx="8">
                  <c:v>13</c:v>
                </c:pt>
                <c:pt idx="9">
                  <c:v>13</c:v>
                </c:pt>
                <c:pt idx="10">
                  <c:v>12</c:v>
                </c:pt>
                <c:pt idx="11">
                  <c:v>12</c:v>
                </c:pt>
                <c:pt idx="12">
                  <c:v>11</c:v>
                </c:pt>
                <c:pt idx="13">
                  <c:v>10</c:v>
                </c:pt>
                <c:pt idx="14">
                  <c:v>10</c:v>
                </c:pt>
              </c:numCache>
            </c:numRef>
          </c:val>
          <c:extLst>
            <c:ext xmlns:c16="http://schemas.microsoft.com/office/drawing/2014/chart" uri="{C3380CC4-5D6E-409C-BE32-E72D297353CC}">
              <c16:uniqueId val="{00000002-2CB0-4F11-AA5A-88805B105575}"/>
            </c:ext>
          </c:extLst>
        </c:ser>
        <c:dLbls>
          <c:showLegendKey val="0"/>
          <c:showVal val="0"/>
          <c:showCatName val="0"/>
          <c:showSerName val="0"/>
          <c:showPercent val="0"/>
          <c:showBubbleSize val="0"/>
        </c:dLbls>
        <c:gapWidth val="182"/>
        <c:overlap val="-50"/>
        <c:axId val="650900800"/>
        <c:axId val="1684762976"/>
      </c:barChart>
      <c:catAx>
        <c:axId val="650900800"/>
        <c:scaling>
          <c:orientation val="minMax"/>
        </c:scaling>
        <c:delete val="0"/>
        <c:axPos val="r"/>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SA"/>
          </a:p>
        </c:txPr>
        <c:crossAx val="1684762976"/>
        <c:crosses val="autoZero"/>
        <c:auto val="1"/>
        <c:lblAlgn val="ctr"/>
        <c:lblOffset val="100"/>
        <c:noMultiLvlLbl val="0"/>
      </c:catAx>
      <c:valAx>
        <c:axId val="1684762976"/>
        <c:scaling>
          <c:orientation val="maxMin"/>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SA"/>
          </a:p>
        </c:txPr>
        <c:crossAx val="650900800"/>
        <c:crosses val="autoZero"/>
        <c:crossBetween val="between"/>
      </c:valAx>
      <c:spPr>
        <a:noFill/>
        <a:ln>
          <a:noFill/>
        </a:ln>
        <a:effectLst/>
      </c:spPr>
    </c:plotArea>
    <c:plotVisOnly val="1"/>
    <c:dispBlanksAs val="gap"/>
    <c:showDLblsOverMax val="0"/>
    <c:extLst/>
  </c:chart>
  <c:spPr>
    <a:solidFill>
      <a:srgbClr val="081F44"/>
    </a:solidFill>
    <a:ln w="19050" cap="flat" cmpd="sng" algn="ctr">
      <a:solidFill>
        <a:srgbClr val="8EA2D7"/>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0</xdr:colOff>
      <xdr:row>2</xdr:row>
      <xdr:rowOff>3574</xdr:rowOff>
    </xdr:from>
    <xdr:to>
      <xdr:col>12</xdr:col>
      <xdr:colOff>321864</xdr:colOff>
      <xdr:row>16</xdr:row>
      <xdr:rowOff>172642</xdr:rowOff>
    </xdr:to>
    <xdr:graphicFrame macro="">
      <xdr:nvGraphicFramePr>
        <xdr:cNvPr id="4" name="Chart 3">
          <a:extLst>
            <a:ext uri="{FF2B5EF4-FFF2-40B4-BE49-F238E27FC236}">
              <a16:creationId xmlns:a16="http://schemas.microsoft.com/office/drawing/2014/main" id="{0CF12796-6053-131A-A8B5-FA14F5829D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1226741</xdr:colOff>
      <xdr:row>18</xdr:row>
      <xdr:rowOff>29766</xdr:rowOff>
    </xdr:from>
    <xdr:to>
      <xdr:col>9</xdr:col>
      <xdr:colOff>998141</xdr:colOff>
      <xdr:row>33</xdr:row>
      <xdr:rowOff>39291</xdr:rowOff>
    </xdr:to>
    <xdr:graphicFrame macro="">
      <xdr:nvGraphicFramePr>
        <xdr:cNvPr id="5" name="Chart 4">
          <a:extLst>
            <a:ext uri="{FF2B5EF4-FFF2-40B4-BE49-F238E27FC236}">
              <a16:creationId xmlns:a16="http://schemas.microsoft.com/office/drawing/2014/main" id="{EB21E8A1-9AFE-481F-E711-92120EE22C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1670</xdr:colOff>
      <xdr:row>38</xdr:row>
      <xdr:rowOff>19843</xdr:rowOff>
    </xdr:from>
    <xdr:to>
      <xdr:col>9</xdr:col>
      <xdr:colOff>961822</xdr:colOff>
      <xdr:row>53</xdr:row>
      <xdr:rowOff>48418</xdr:rowOff>
    </xdr:to>
    <xdr:graphicFrame macro="">
      <xdr:nvGraphicFramePr>
        <xdr:cNvPr id="6" name="Chart 5">
          <a:extLst>
            <a:ext uri="{FF2B5EF4-FFF2-40B4-BE49-F238E27FC236}">
              <a16:creationId xmlns:a16="http://schemas.microsoft.com/office/drawing/2014/main" id="{C022A9C6-C411-B915-39D5-0361F8AEDE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1230160</xdr:colOff>
      <xdr:row>58</xdr:row>
      <xdr:rowOff>20028</xdr:rowOff>
    </xdr:from>
    <xdr:to>
      <xdr:col>10</xdr:col>
      <xdr:colOff>86489</xdr:colOff>
      <xdr:row>74</xdr:row>
      <xdr:rowOff>41825</xdr:rowOff>
    </xdr:to>
    <xdr:graphicFrame macro="">
      <xdr:nvGraphicFramePr>
        <xdr:cNvPr id="7" name="Chart 6">
          <a:extLst>
            <a:ext uri="{FF2B5EF4-FFF2-40B4-BE49-F238E27FC236}">
              <a16:creationId xmlns:a16="http://schemas.microsoft.com/office/drawing/2014/main" id="{0529B186-E289-C698-9B74-49CB5CD656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1234020</xdr:colOff>
      <xdr:row>114</xdr:row>
      <xdr:rowOff>11658</xdr:rowOff>
    </xdr:from>
    <xdr:to>
      <xdr:col>8</xdr:col>
      <xdr:colOff>1259180</xdr:colOff>
      <xdr:row>129</xdr:row>
      <xdr:rowOff>97667</xdr:rowOff>
    </xdr:to>
    <xdr:graphicFrame macro="">
      <xdr:nvGraphicFramePr>
        <xdr:cNvPr id="11" name="Chart 10">
          <a:extLst>
            <a:ext uri="{FF2B5EF4-FFF2-40B4-BE49-F238E27FC236}">
              <a16:creationId xmlns:a16="http://schemas.microsoft.com/office/drawing/2014/main" id="{F2585020-817D-E77D-BF7C-545F228A08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397388</xdr:colOff>
      <xdr:row>81</xdr:row>
      <xdr:rowOff>162129</xdr:rowOff>
    </xdr:from>
    <xdr:to>
      <xdr:col>12</xdr:col>
      <xdr:colOff>567596</xdr:colOff>
      <xdr:row>96</xdr:row>
      <xdr:rowOff>145768</xdr:rowOff>
    </xdr:to>
    <xdr:graphicFrame macro="">
      <xdr:nvGraphicFramePr>
        <xdr:cNvPr id="10" name="Chart 9">
          <a:extLst>
            <a:ext uri="{FF2B5EF4-FFF2-40B4-BE49-F238E27FC236}">
              <a16:creationId xmlns:a16="http://schemas.microsoft.com/office/drawing/2014/main" id="{947048A2-ABC1-ED77-A48E-64DD902F84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4</xdr:col>
      <xdr:colOff>444896</xdr:colOff>
      <xdr:row>99</xdr:row>
      <xdr:rowOff>156933</xdr:rowOff>
    </xdr:from>
    <xdr:ext cx="1599010" cy="436786"/>
    <xdr:sp macro="" textlink="">
      <xdr:nvSpPr>
        <xdr:cNvPr id="12" name="TextBox 11">
          <a:extLst>
            <a:ext uri="{FF2B5EF4-FFF2-40B4-BE49-F238E27FC236}">
              <a16:creationId xmlns:a16="http://schemas.microsoft.com/office/drawing/2014/main" id="{7E0A2844-24F8-0C7E-34D1-625EB755B977}"/>
            </a:ext>
          </a:extLst>
        </xdr:cNvPr>
        <xdr:cNvSpPr txBox="1"/>
      </xdr:nvSpPr>
      <xdr:spPr>
        <a:xfrm>
          <a:off x="11217126172" y="17857558"/>
          <a:ext cx="159901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ctr">
          <a:spAutoFit/>
        </a:bodyPr>
        <a:lstStyle/>
        <a:p>
          <a:pPr algn="ctr" rtl="1"/>
          <a:r>
            <a:rPr lang="ar-SA" b="1">
              <a:solidFill>
                <a:schemeClr val="bg1"/>
              </a:solidFill>
            </a:rPr>
            <a:t>Genres Distribution Across Countries</a:t>
          </a:r>
          <a:endParaRPr lang="ar-SA" sz="1100" b="1">
            <a:solidFill>
              <a:schemeClr val="bg1"/>
            </a:solidFill>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8</xdr:col>
      <xdr:colOff>61452</xdr:colOff>
      <xdr:row>16</xdr:row>
      <xdr:rowOff>174113</xdr:rowOff>
    </xdr:from>
    <xdr:to>
      <xdr:col>13</xdr:col>
      <xdr:colOff>525170</xdr:colOff>
      <xdr:row>33</xdr:row>
      <xdr:rowOff>10242</xdr:rowOff>
    </xdr:to>
    <xdr:graphicFrame macro="">
      <xdr:nvGraphicFramePr>
        <xdr:cNvPr id="8" name="Chart 7">
          <a:extLst>
            <a:ext uri="{FF2B5EF4-FFF2-40B4-BE49-F238E27FC236}">
              <a16:creationId xmlns:a16="http://schemas.microsoft.com/office/drawing/2014/main" id="{560080EB-E236-47B2-B667-A466EDEC67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48597</xdr:colOff>
      <xdr:row>8</xdr:row>
      <xdr:rowOff>9721</xdr:rowOff>
    </xdr:from>
    <xdr:to>
      <xdr:col>15</xdr:col>
      <xdr:colOff>670638</xdr:colOff>
      <xdr:row>16</xdr:row>
      <xdr:rowOff>77756</xdr:rowOff>
    </xdr:to>
    <xdr:graphicFrame macro="">
      <xdr:nvGraphicFramePr>
        <xdr:cNvPr id="11" name="Chart 10">
          <a:extLst>
            <a:ext uri="{FF2B5EF4-FFF2-40B4-BE49-F238E27FC236}">
              <a16:creationId xmlns:a16="http://schemas.microsoft.com/office/drawing/2014/main" id="{08438D94-1369-4FC7-9B15-262F75BD1D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6023</xdr:colOff>
      <xdr:row>12</xdr:row>
      <xdr:rowOff>87473</xdr:rowOff>
    </xdr:from>
    <xdr:to>
      <xdr:col>7</xdr:col>
      <xdr:colOff>666942</xdr:colOff>
      <xdr:row>22</xdr:row>
      <xdr:rowOff>26831</xdr:rowOff>
    </xdr:to>
    <xdr:graphicFrame macro="">
      <xdr:nvGraphicFramePr>
        <xdr:cNvPr id="12" name="Chart 11">
          <a:extLst>
            <a:ext uri="{FF2B5EF4-FFF2-40B4-BE49-F238E27FC236}">
              <a16:creationId xmlns:a16="http://schemas.microsoft.com/office/drawing/2014/main" id="{B61720E9-D94D-44EE-A5D6-262914A744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53249</xdr:colOff>
      <xdr:row>12</xdr:row>
      <xdr:rowOff>93498</xdr:rowOff>
    </xdr:from>
    <xdr:to>
      <xdr:col>3</xdr:col>
      <xdr:colOff>603697</xdr:colOff>
      <xdr:row>22</xdr:row>
      <xdr:rowOff>40246</xdr:rowOff>
    </xdr:to>
    <xdr:graphicFrame macro="">
      <xdr:nvGraphicFramePr>
        <xdr:cNvPr id="13" name="Chart 12">
          <a:extLst>
            <a:ext uri="{FF2B5EF4-FFF2-40B4-BE49-F238E27FC236}">
              <a16:creationId xmlns:a16="http://schemas.microsoft.com/office/drawing/2014/main" id="{8B4D4240-6B47-4815-AAC1-23734AB9D9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66064</xdr:colOff>
      <xdr:row>22</xdr:row>
      <xdr:rowOff>124634</xdr:rowOff>
    </xdr:from>
    <xdr:to>
      <xdr:col>7</xdr:col>
      <xdr:colOff>670773</xdr:colOff>
      <xdr:row>33</xdr:row>
      <xdr:rowOff>1443</xdr:rowOff>
    </xdr:to>
    <xdr:graphicFrame macro="">
      <xdr:nvGraphicFramePr>
        <xdr:cNvPr id="14" name="Chart 13">
          <a:extLst>
            <a:ext uri="{FF2B5EF4-FFF2-40B4-BE49-F238E27FC236}">
              <a16:creationId xmlns:a16="http://schemas.microsoft.com/office/drawing/2014/main" id="{FCF242F2-E4E7-4AA5-8D41-3ABB7ED6FF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590281</xdr:colOff>
      <xdr:row>17</xdr:row>
      <xdr:rowOff>0</xdr:rowOff>
    </xdr:from>
    <xdr:to>
      <xdr:col>16</xdr:col>
      <xdr:colOff>13415</xdr:colOff>
      <xdr:row>33</xdr:row>
      <xdr:rowOff>17467</xdr:rowOff>
    </xdr:to>
    <xdr:grpSp>
      <xdr:nvGrpSpPr>
        <xdr:cNvPr id="24" name="Group 23">
          <a:extLst>
            <a:ext uri="{FF2B5EF4-FFF2-40B4-BE49-F238E27FC236}">
              <a16:creationId xmlns:a16="http://schemas.microsoft.com/office/drawing/2014/main" id="{ADD7E6CF-4CD3-4F1C-B413-AC030417BC64}"/>
            </a:ext>
          </a:extLst>
        </xdr:cNvPr>
        <xdr:cNvGrpSpPr/>
      </xdr:nvGrpSpPr>
      <xdr:grpSpPr>
        <a:xfrm>
          <a:off x="11198810810" y="2817254"/>
          <a:ext cx="1475704" cy="2807889"/>
          <a:chOff x="11218257266" y="21649531"/>
          <a:chExt cx="1587500" cy="2807890"/>
        </a:xfrm>
      </xdr:grpSpPr>
      <mc:AlternateContent xmlns:mc="http://schemas.openxmlformats.org/markup-compatibility/2006">
        <mc:Choice xmlns:a14="http://schemas.microsoft.com/office/drawing/2010/main" Requires="a14">
          <xdr:graphicFrame macro="">
            <xdr:nvGraphicFramePr>
              <xdr:cNvPr id="25" name="director">
                <a:extLst>
                  <a:ext uri="{FF2B5EF4-FFF2-40B4-BE49-F238E27FC236}">
                    <a16:creationId xmlns:a16="http://schemas.microsoft.com/office/drawing/2014/main" id="{E82B1622-EA18-85DD-65ED-D60338FF27B7}"/>
                  </a:ext>
                </a:extLst>
              </xdr:cNvPr>
              <xdr:cNvGraphicFramePr/>
            </xdr:nvGraphicFramePr>
            <xdr:xfrm>
              <a:off x="11218303530" y="21689219"/>
              <a:ext cx="1501547" cy="2732231"/>
            </xdr:xfrm>
            <a:graphic>
              <a:graphicData uri="http://schemas.microsoft.com/office/drawing/2010/slicer">
                <sle:slicer xmlns:sle="http://schemas.microsoft.com/office/drawing/2010/slicer" name="director"/>
              </a:graphicData>
            </a:graphic>
          </xdr:graphicFrame>
        </mc:Choice>
        <mc:Fallback>
          <xdr:sp macro="" textlink="">
            <xdr:nvSpPr>
              <xdr:cNvPr id="0" name=""/>
              <xdr:cNvSpPr>
                <a:spLocks noTextEdit="1"/>
              </xdr:cNvSpPr>
            </xdr:nvSpPr>
            <xdr:spPr>
              <a:xfrm>
                <a:off x="11198853816" y="2856942"/>
                <a:ext cx="1395804" cy="2732230"/>
              </a:xfrm>
              <a:prstGeom prst="rect">
                <a:avLst/>
              </a:prstGeom>
              <a:solidFill>
                <a:prstClr val="white"/>
              </a:solidFill>
              <a:ln w="1">
                <a:solidFill>
                  <a:prstClr val="green"/>
                </a:solidFill>
              </a:ln>
            </xdr:spPr>
            <xdr:txBody>
              <a:bodyPr vertOverflow="clip" horzOverflow="clip"/>
              <a:lstStyle/>
              <a:p>
                <a:r>
                  <a:rPr lang="ar-S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26" name="Rectangle 25">
            <a:extLst>
              <a:ext uri="{FF2B5EF4-FFF2-40B4-BE49-F238E27FC236}">
                <a16:creationId xmlns:a16="http://schemas.microsoft.com/office/drawing/2014/main" id="{76D0BA81-E6A0-BADF-EAA1-3B80B58BE85D}"/>
              </a:ext>
            </a:extLst>
          </xdr:cNvPr>
          <xdr:cNvSpPr/>
        </xdr:nvSpPr>
        <xdr:spPr>
          <a:xfrm>
            <a:off x="11218257266" y="21649531"/>
            <a:ext cx="1587500" cy="2807890"/>
          </a:xfrm>
          <a:prstGeom prst="rect">
            <a:avLst/>
          </a:prstGeom>
          <a:noFill/>
          <a:ln>
            <a:solidFill>
              <a:srgbClr val="8EA2D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SA" sz="1100"/>
          </a:p>
        </xdr:txBody>
      </xdr:sp>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ad" refreshedDate="46281.934279166664" backgroundQuery="1" createdVersion="8" refreshedVersion="8" minRefreshableVersion="3" recordCount="0" supportSubquery="1" supportAdvancedDrill="1" xr:uid="{74A124FB-7E7C-4525-A55A-21ABAC18D7E8}">
  <cacheSource type="external" connectionId="4"/>
  <cacheFields count="2">
    <cacheField name="[Measures].[Count of show_id 3]" caption="Count of show_id 3" numFmtId="0" hierarchy="34" level="32767"/>
    <cacheField name="[Cast_Unpacked].[cast].[cast]" caption="cast" numFmtId="0" hierarchy="1" level="1">
      <sharedItems count="15">
        <s v=" Anthony Daniels"/>
        <s v=" Bill Farmer"/>
        <s v=" Bob Peterson"/>
        <s v=" Corey Burton"/>
        <s v=" Jeff Bennett"/>
        <s v=" Jim Cummings"/>
        <s v=" Keith Ferguson"/>
        <s v=" Russi Taylor"/>
        <s v=" Tress MacNeille"/>
        <s v=" Trevor Devall"/>
        <s v=" Wallace Shawn"/>
        <s v="Larry the Cable Guy"/>
        <s v="Tony Hale"/>
        <s v="Unknown Cast"/>
        <s v="Walt Disney"/>
      </sharedItems>
    </cacheField>
  </cacheFields>
  <cacheHierarchies count="36">
    <cacheHierarchy uniqueName="[Cast_Unpacked].[show_id]" caption="show_id" attribute="1" defaultMemberUniqueName="[Cast_Unpacked].[show_id].[All]" allUniqueName="[Cast_Unpacked].[show_id].[All]" dimensionUniqueName="[Cast_Unpacked]" displayFolder="" count="0" memberValueDatatype="130" unbalanced="0"/>
    <cacheHierarchy uniqueName="[Cast_Unpacked].[cast]" caption="cast" attribute="1" defaultMemberUniqueName="[Cast_Unpacked].[cast].[All]" allUniqueName="[Cast_Unpacked].[cast].[All]" dimensionUniqueName="[Cast_Unpacked]" displayFolder="" count="2" memberValueDatatype="130" unbalanced="0">
      <fieldsUsage count="2">
        <fieldUsage x="-1"/>
        <fieldUsage x="1"/>
      </fieldsUsage>
    </cacheHierarchy>
    <cacheHierarchy uniqueName="[Director_Unpacked].[show_id]" caption="show_id" attribute="1" defaultMemberUniqueName="[Director_Unpacked].[show_id].[All]" allUniqueName="[Director_Unpacked].[show_id].[All]" dimensionUniqueName="[Director_Unpacked]" displayFolder="" count="0" memberValueDatatype="130" unbalanced="0"/>
    <cacheHierarchy uniqueName="[Director_Unpacked].[director]" caption="director" attribute="1" defaultMemberUniqueName="[Director_Unpacked].[director].[All]" allUniqueName="[Director_Unpacked].[director].[All]" dimensionUniqueName="[Director_Unpacked]" displayFolder="" count="0" memberValueDatatype="130" unbalanced="0"/>
    <cacheHierarchy uniqueName="[Main].[show_id]" caption="show_id" attribute="1" defaultMemberUniqueName="[Main].[show_id].[All]" allUniqueName="[Main].[show_id].[All]" dimensionUniqueName="[Main]" displayFolder="" count="0" memberValueDatatype="130" unbalanced="0"/>
    <cacheHierarchy uniqueName="[Main].[type]" caption="type" attribute="1" defaultMemberUniqueName="[Main].[type].[All]" allUniqueName="[Main].[type].[All]" dimensionUniqueName="[Main]" displayFolder="" count="0" memberValueDatatype="130" unbalanced="0"/>
    <cacheHierarchy uniqueName="[Main].[title]" caption="title" attribute="1" defaultMemberUniqueName="[Main].[title].[All]" allUniqueName="[Main].[title].[All]" dimensionUniqueName="[Main]" displayFolder="" count="0" memberValueDatatype="130" unbalanced="0"/>
    <cacheHierarchy uniqueName="[Main].[director]" caption="director" attribute="1" defaultMemberUniqueName="[Main].[director].[All]" allUniqueName="[Main].[director].[All]" dimensionUniqueName="[Main]" displayFolder="" count="0" memberValueDatatype="130" unbalanced="0"/>
    <cacheHierarchy uniqueName="[Main].[cast]" caption="cast" attribute="1" defaultMemberUniqueName="[Main].[cast].[All]" allUniqueName="[Main].[cast].[All]" dimensionUniqueName="[Main]" displayFolder="" count="0" memberValueDatatype="130" unbalanced="0"/>
    <cacheHierarchy uniqueName="[Main].[country]" caption="country" attribute="1" defaultMemberUniqueName="[Main].[country].[All]" allUniqueName="[Main].[country].[All]" dimensionUniqueName="[Main]" displayFolder="" count="0" memberValueDatatype="130" unbalanced="0"/>
    <cacheHierarchy uniqueName="[Main].[date_added]" caption="date_added" attribute="1" time="1" defaultMemberUniqueName="[Main].[date_added].[All]" allUniqueName="[Main].[date_added].[All]" dimensionUniqueName="[Main]" displayFolder="" count="0" memberValueDatatype="7" unbalanced="0"/>
    <cacheHierarchy uniqueName="[Main].[release_year]" caption="release_year" attribute="1" defaultMemberUniqueName="[Main].[release_year].[All]" allUniqueName="[Main].[release_year].[All]" dimensionUniqueName="[Main]" displayFolder="" count="0" memberValueDatatype="20" unbalanced="0"/>
    <cacheHierarchy uniqueName="[Main].[rating]" caption="rating" attribute="1" defaultMemberUniqueName="[Main].[rating].[All]" allUniqueName="[Main].[rating].[All]" dimensionUniqueName="[Main]" displayFolder="" count="0" memberValueDatatype="130" unbalanced="0"/>
    <cacheHierarchy uniqueName="[Main].[duration]" caption="duration" attribute="1" defaultMemberUniqueName="[Main].[duration].[All]" allUniqueName="[Main].[duration].[All]" dimensionUniqueName="[Main]" displayFolder="" count="0" memberValueDatatype="130" unbalanced="0"/>
    <cacheHierarchy uniqueName="[Main].[listed_in]" caption="listed_in" attribute="1" defaultMemberUniqueName="[Main].[listed_in].[All]" allUniqueName="[Main].[listed_in].[All]" dimensionUniqueName="[Main]" displayFolder="" count="0" memberValueDatatype="130" unbalanced="0"/>
    <cacheHierarchy uniqueName="[Main].[description]" caption="description" attribute="1" defaultMemberUniqueName="[Main].[description].[All]" allUniqueName="[Main].[description].[All]" dimensionUniqueName="[Main]" displayFolder="" count="0" memberValueDatatype="130" unbalanced="0"/>
    <cacheHierarchy uniqueName="[Main].[year_added]" caption="year_added" attribute="1" defaultMemberUniqueName="[Main].[year_added].[All]" allUniqueName="[Main].[year_added].[All]" dimensionUniqueName="[Main]" displayFolder="" count="0" memberValueDatatype="20" unbalanced="0"/>
    <cacheHierarchy uniqueName="[Main].[month_added]" caption="month_added" attribute="1" defaultMemberUniqueName="[Main].[month_added].[All]" allUniqueName="[Main].[month_added].[All]" dimensionUniqueName="[Main]" displayFolder="" count="0" memberValueDatatype="20" unbalanced="0"/>
    <cacheHierarchy uniqueName="[Main].[day_name_added]" caption="day_name_added" attribute="1" defaultMemberUniqueName="[Main].[day_name_added].[All]" allUniqueName="[Main].[day_name_added].[All]" dimensionUniqueName="[Main]" displayFolder="" count="0" memberValueDatatype="130" unbalanced="0"/>
    <cacheHierarchy uniqueName="[Main].[duration_num]" caption="duration_num" attribute="1" defaultMemberUniqueName="[Main].[duration_num].[All]" allUniqueName="[Main].[duration_num].[All]" dimensionUniqueName="[Main]" displayFolder="" count="0" memberValueDatatype="20" unbalanced="0"/>
    <cacheHierarchy uniqueName="[Main].[duration_unit]" caption="duration_unit" attribute="1" defaultMemberUniqueName="[Main].[duration_unit].[All]" allUniqueName="[Main].[duration_unit].[All]" dimensionUniqueName="[Main]" displayFolder="" count="0" memberValueDatatype="130" unbalanced="0"/>
    <cacheHierarchy uniqueName="[Main].[primary_genre]" caption="primary_genre" attribute="1" defaultMemberUniqueName="[Main].[primary_genre].[All]" allUniqueName="[Main].[primary_genre].[All]" dimensionUniqueName="[Main]" displayFolder="" count="0" memberValueDatatype="130" unbalanced="0"/>
    <cacheHierarchy uniqueName="[Main].[content_age]" caption="content_age" attribute="1" defaultMemberUniqueName="[Main].[content_age].[All]" allUniqueName="[Main].[content_age].[All]" dimensionUniqueName="[Main]" displayFolder="" count="0" memberValueDatatype="20" unbalanced="0"/>
    <cacheHierarchy uniqueName="[Measures].[Unique_Directors]" caption="Unique_Directors" measure="1" displayFolder="" measureGroup="Director_Unpacked" count="0"/>
    <cacheHierarchy uniqueName="[Measures].[Unique_Countries]" caption="Unique_Countries" measure="1" displayFolder="" measureGroup="Main" count="0"/>
    <cacheHierarchy uniqueName="[Measures].[US_Production_Pct]" caption="US_Production_Pct" measure="1" displayFolder="" measureGroup="Main" count="0"/>
    <cacheHierarchy uniqueName="[Measures].[Unknown_Country_Pct]" caption="Unknown_Country_Pct" measure="1" displayFolder="" measureGroup="Main" count="0"/>
    <cacheHierarchy uniqueName="[Measures].[Avg_Titles_Per_Director]" caption="Avg_Titles_Per_Director" measure="1" displayFolder="" measureGroup="Director_Unpacked" count="0"/>
    <cacheHierarchy uniqueName="[Measures].[__XL_Count Director_Unpacked]" caption="__XL_Count Director_Unpacked" measure="1" displayFolder="" measureGroup="Director_Unpacked" count="0" hidden="1"/>
    <cacheHierarchy uniqueName="[Measures].[__XL_Count Main]" caption="__XL_Count Main" measure="1" displayFolder="" measureGroup="Main" count="0" hidden="1"/>
    <cacheHierarchy uniqueName="[Measures].[__XL_Count Cast_Unpacked]" caption="__XL_Count Cast_Unpacked" measure="1" displayFolder="" measureGroup="Cast_Unpacked" count="0" hidden="1"/>
    <cacheHierarchy uniqueName="[Measures].[__No measures defined]" caption="__No measures defined" measure="1" displayFolder="" count="0" hidden="1"/>
    <cacheHierarchy uniqueName="[Measures].[Count of show_id]" caption="Count of show_id" measure="1" displayFolder="" measureGroup="Main" count="0" hidden="1">
      <extLst>
        <ext xmlns:x15="http://schemas.microsoft.com/office/spreadsheetml/2010/11/main" uri="{B97F6D7D-B522-45F9-BDA1-12C45D357490}">
          <x15:cacheHierarchy aggregatedColumn="4"/>
        </ext>
      </extLst>
    </cacheHierarchy>
    <cacheHierarchy uniqueName="[Measures].[Count of show_id 2]" caption="Count of show_id 2" measure="1" displayFolder="" measureGroup="Director_Unpacked" count="0" hidden="1">
      <extLst>
        <ext xmlns:x15="http://schemas.microsoft.com/office/spreadsheetml/2010/11/main" uri="{B97F6D7D-B522-45F9-BDA1-12C45D357490}">
          <x15:cacheHierarchy aggregatedColumn="2"/>
        </ext>
      </extLst>
    </cacheHierarchy>
    <cacheHierarchy uniqueName="[Measures].[Count of show_id 3]" caption="Count of show_id 3" measure="1" displayFolder="" measureGroup="Cast_Unpacked"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title]" caption="Count of title" measure="1" displayFolder="" measureGroup="Main" count="0" hidden="1">
      <extLst>
        <ext xmlns:x15="http://schemas.microsoft.com/office/spreadsheetml/2010/11/main" uri="{B97F6D7D-B522-45F9-BDA1-12C45D357490}">
          <x15:cacheHierarchy aggregatedColumn="6"/>
        </ext>
      </extLst>
    </cacheHierarchy>
  </cacheHierarchies>
  <kpis count="0"/>
  <dimensions count="4">
    <dimension name="Cast_Unpacked" uniqueName="[Cast_Unpacked]" caption="Cast_Unpacked"/>
    <dimension name="Director_Unpacked" uniqueName="[Director_Unpacked]" caption="Director_Unpacked"/>
    <dimension name="Main" uniqueName="[Main]" caption="Main"/>
    <dimension measure="1" name="Measures" uniqueName="[Measures]" caption="Measures"/>
  </dimensions>
  <measureGroups count="3">
    <measureGroup name="Cast_Unpacked" caption="Cast_Unpacked"/>
    <measureGroup name="Director_Unpacked" caption="Director_Unpacked"/>
    <measureGroup name="Main" caption="Main"/>
  </measureGroups>
  <maps count="5">
    <map measureGroup="0" dimension="0"/>
    <map measureGroup="0" dimension="2"/>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ad" refreshedDate="46281.934281018519" backgroundQuery="1" createdVersion="8" refreshedVersion="8" minRefreshableVersion="3" recordCount="0" supportSubquery="1" supportAdvancedDrill="1" xr:uid="{E80AD4F3-A4EF-4B5E-AE59-775B2236A402}">
  <cacheSource type="external" connectionId="4"/>
  <cacheFields count="2">
    <cacheField name="[Main].[country].[country]" caption="country" numFmtId="0" hierarchy="9" level="1">
      <sharedItems count="10">
        <s v="Canada"/>
        <s v="Canada, United States"/>
        <s v="United Kingdom"/>
        <s v="United Kingdom, United States"/>
        <s v="United States"/>
        <s v="United States, Australia"/>
        <s v="United States, Canada"/>
        <s v="United States, France"/>
        <s v="United States, United Kingdom"/>
        <s v="Unknown Country"/>
      </sharedItems>
    </cacheField>
    <cacheField name="[Measures].[Count of show_id]" caption="Count of show_id" numFmtId="0" hierarchy="32" level="32767"/>
  </cacheFields>
  <cacheHierarchies count="36">
    <cacheHierarchy uniqueName="[Cast_Unpacked].[show_id]" caption="show_id" attribute="1" defaultMemberUniqueName="[Cast_Unpacked].[show_id].[All]" allUniqueName="[Cast_Unpacked].[show_id].[All]" dimensionUniqueName="[Cast_Unpacked]" displayFolder="" count="0" memberValueDatatype="130" unbalanced="0"/>
    <cacheHierarchy uniqueName="[Cast_Unpacked].[cast]" caption="cast" attribute="1" defaultMemberUniqueName="[Cast_Unpacked].[cast].[All]" allUniqueName="[Cast_Unpacked].[cast].[All]" dimensionUniqueName="[Cast_Unpacked]" displayFolder="" count="0" memberValueDatatype="130" unbalanced="0"/>
    <cacheHierarchy uniqueName="[Director_Unpacked].[show_id]" caption="show_id" attribute="1" defaultMemberUniqueName="[Director_Unpacked].[show_id].[All]" allUniqueName="[Director_Unpacked].[show_id].[All]" dimensionUniqueName="[Director_Unpacked]" displayFolder="" count="0" memberValueDatatype="130" unbalanced="0"/>
    <cacheHierarchy uniqueName="[Director_Unpacked].[director]" caption="director" attribute="1" defaultMemberUniqueName="[Director_Unpacked].[director].[All]" allUniqueName="[Director_Unpacked].[director].[All]" dimensionUniqueName="[Director_Unpacked]" displayFolder="" count="0" memberValueDatatype="130" unbalanced="0"/>
    <cacheHierarchy uniqueName="[Main].[show_id]" caption="show_id" attribute="1" defaultMemberUniqueName="[Main].[show_id].[All]" allUniqueName="[Main].[show_id].[All]" dimensionUniqueName="[Main]" displayFolder="" count="0" memberValueDatatype="130" unbalanced="0"/>
    <cacheHierarchy uniqueName="[Main].[type]" caption="type" attribute="1" defaultMemberUniqueName="[Main].[type].[All]" allUniqueName="[Main].[type].[All]" dimensionUniqueName="[Main]" displayFolder="" count="0" memberValueDatatype="130" unbalanced="0"/>
    <cacheHierarchy uniqueName="[Main].[title]" caption="title" attribute="1" defaultMemberUniqueName="[Main].[title].[All]" allUniqueName="[Main].[title].[All]" dimensionUniqueName="[Main]" displayFolder="" count="0" memberValueDatatype="130" unbalanced="0"/>
    <cacheHierarchy uniqueName="[Main].[director]" caption="director" attribute="1" defaultMemberUniqueName="[Main].[director].[All]" allUniqueName="[Main].[director].[All]" dimensionUniqueName="[Main]" displayFolder="" count="0" memberValueDatatype="130" unbalanced="0"/>
    <cacheHierarchy uniqueName="[Main].[cast]" caption="cast" attribute="1" defaultMemberUniqueName="[Main].[cast].[All]" allUniqueName="[Main].[cast].[All]" dimensionUniqueName="[Main]" displayFolder="" count="0" memberValueDatatype="130" unbalanced="0"/>
    <cacheHierarchy uniqueName="[Main].[country]" caption="country" attribute="1" defaultMemberUniqueName="[Main].[country].[All]" allUniqueName="[Main].[country].[All]" dimensionUniqueName="[Main]" displayFolder="" count="2" memberValueDatatype="130" unbalanced="0">
      <fieldsUsage count="2">
        <fieldUsage x="-1"/>
        <fieldUsage x="0"/>
      </fieldsUsage>
    </cacheHierarchy>
    <cacheHierarchy uniqueName="[Main].[date_added]" caption="date_added" attribute="1" time="1" defaultMemberUniqueName="[Main].[date_added].[All]" allUniqueName="[Main].[date_added].[All]" dimensionUniqueName="[Main]" displayFolder="" count="0" memberValueDatatype="7" unbalanced="0"/>
    <cacheHierarchy uniqueName="[Main].[release_year]" caption="release_year" attribute="1" defaultMemberUniqueName="[Main].[release_year].[All]" allUniqueName="[Main].[release_year].[All]" dimensionUniqueName="[Main]" displayFolder="" count="0" memberValueDatatype="20" unbalanced="0"/>
    <cacheHierarchy uniqueName="[Main].[rating]" caption="rating" attribute="1" defaultMemberUniqueName="[Main].[rating].[All]" allUniqueName="[Main].[rating].[All]" dimensionUniqueName="[Main]" displayFolder="" count="0" memberValueDatatype="130" unbalanced="0"/>
    <cacheHierarchy uniqueName="[Main].[duration]" caption="duration" attribute="1" defaultMemberUniqueName="[Main].[duration].[All]" allUniqueName="[Main].[duration].[All]" dimensionUniqueName="[Main]" displayFolder="" count="0" memberValueDatatype="130" unbalanced="0"/>
    <cacheHierarchy uniqueName="[Main].[listed_in]" caption="listed_in" attribute="1" defaultMemberUniqueName="[Main].[listed_in].[All]" allUniqueName="[Main].[listed_in].[All]" dimensionUniqueName="[Main]" displayFolder="" count="0" memberValueDatatype="130" unbalanced="0"/>
    <cacheHierarchy uniqueName="[Main].[description]" caption="description" attribute="1" defaultMemberUniqueName="[Main].[description].[All]" allUniqueName="[Main].[description].[All]" dimensionUniqueName="[Main]" displayFolder="" count="0" memberValueDatatype="130" unbalanced="0"/>
    <cacheHierarchy uniqueName="[Main].[year_added]" caption="year_added" attribute="1" defaultMemberUniqueName="[Main].[year_added].[All]" allUniqueName="[Main].[year_added].[All]" dimensionUniqueName="[Main]" displayFolder="" count="0" memberValueDatatype="20" unbalanced="0"/>
    <cacheHierarchy uniqueName="[Main].[month_added]" caption="month_added" attribute="1" defaultMemberUniqueName="[Main].[month_added].[All]" allUniqueName="[Main].[month_added].[All]" dimensionUniqueName="[Main]" displayFolder="" count="0" memberValueDatatype="20" unbalanced="0"/>
    <cacheHierarchy uniqueName="[Main].[day_name_added]" caption="day_name_added" attribute="1" defaultMemberUniqueName="[Main].[day_name_added].[All]" allUniqueName="[Main].[day_name_added].[All]" dimensionUniqueName="[Main]" displayFolder="" count="0" memberValueDatatype="130" unbalanced="0"/>
    <cacheHierarchy uniqueName="[Main].[duration_num]" caption="duration_num" attribute="1" defaultMemberUniqueName="[Main].[duration_num].[All]" allUniqueName="[Main].[duration_num].[All]" dimensionUniqueName="[Main]" displayFolder="" count="0" memberValueDatatype="20" unbalanced="0"/>
    <cacheHierarchy uniqueName="[Main].[duration_unit]" caption="duration_unit" attribute="1" defaultMemberUniqueName="[Main].[duration_unit].[All]" allUniqueName="[Main].[duration_unit].[All]" dimensionUniqueName="[Main]" displayFolder="" count="0" memberValueDatatype="130" unbalanced="0"/>
    <cacheHierarchy uniqueName="[Main].[primary_genre]" caption="primary_genre" attribute="1" defaultMemberUniqueName="[Main].[primary_genre].[All]" allUniqueName="[Main].[primary_genre].[All]" dimensionUniqueName="[Main]" displayFolder="" count="0" memberValueDatatype="130" unbalanced="0"/>
    <cacheHierarchy uniqueName="[Main].[content_age]" caption="content_age" attribute="1" defaultMemberUniqueName="[Main].[content_age].[All]" allUniqueName="[Main].[content_age].[All]" dimensionUniqueName="[Main]" displayFolder="" count="0" memberValueDatatype="20" unbalanced="0"/>
    <cacheHierarchy uniqueName="[Measures].[Unique_Directors]" caption="Unique_Directors" measure="1" displayFolder="" measureGroup="Director_Unpacked" count="0"/>
    <cacheHierarchy uniqueName="[Measures].[Unique_Countries]" caption="Unique_Countries" measure="1" displayFolder="" measureGroup="Main" count="0"/>
    <cacheHierarchy uniqueName="[Measures].[US_Production_Pct]" caption="US_Production_Pct" measure="1" displayFolder="" measureGroup="Main" count="0"/>
    <cacheHierarchy uniqueName="[Measures].[Unknown_Country_Pct]" caption="Unknown_Country_Pct" measure="1" displayFolder="" measureGroup="Main" count="0"/>
    <cacheHierarchy uniqueName="[Measures].[Avg_Titles_Per_Director]" caption="Avg_Titles_Per_Director" measure="1" displayFolder="" measureGroup="Director_Unpacked" count="0"/>
    <cacheHierarchy uniqueName="[Measures].[__XL_Count Director_Unpacked]" caption="__XL_Count Director_Unpacked" measure="1" displayFolder="" measureGroup="Director_Unpacked" count="0" hidden="1"/>
    <cacheHierarchy uniqueName="[Measures].[__XL_Count Main]" caption="__XL_Count Main" measure="1" displayFolder="" measureGroup="Main" count="0" hidden="1"/>
    <cacheHierarchy uniqueName="[Measures].[__XL_Count Cast_Unpacked]" caption="__XL_Count Cast_Unpacked" measure="1" displayFolder="" measureGroup="Cast_Unpacked" count="0" hidden="1"/>
    <cacheHierarchy uniqueName="[Measures].[__No measures defined]" caption="__No measures defined" measure="1" displayFolder="" count="0" hidden="1"/>
    <cacheHierarchy uniqueName="[Measures].[Count of show_id]" caption="Count of show_id" measure="1" displayFolder="" measureGroup="Main" count="0" oneField="1" hidden="1">
      <fieldsUsage count="1">
        <fieldUsage x="1"/>
      </fieldsUsage>
      <extLst>
        <ext xmlns:x15="http://schemas.microsoft.com/office/spreadsheetml/2010/11/main" uri="{B97F6D7D-B522-45F9-BDA1-12C45D357490}">
          <x15:cacheHierarchy aggregatedColumn="4"/>
        </ext>
      </extLst>
    </cacheHierarchy>
    <cacheHierarchy uniqueName="[Measures].[Count of show_id 2]" caption="Count of show_id 2" measure="1" displayFolder="" measureGroup="Director_Unpacked" count="0" hidden="1">
      <extLst>
        <ext xmlns:x15="http://schemas.microsoft.com/office/spreadsheetml/2010/11/main" uri="{B97F6D7D-B522-45F9-BDA1-12C45D357490}">
          <x15:cacheHierarchy aggregatedColumn="2"/>
        </ext>
      </extLst>
    </cacheHierarchy>
    <cacheHierarchy uniqueName="[Measures].[Count of show_id 3]" caption="Count of show_id 3" measure="1" displayFolder="" measureGroup="Cast_Unpacked" count="0" hidden="1">
      <extLst>
        <ext xmlns:x15="http://schemas.microsoft.com/office/spreadsheetml/2010/11/main" uri="{B97F6D7D-B522-45F9-BDA1-12C45D357490}">
          <x15:cacheHierarchy aggregatedColumn="0"/>
        </ext>
      </extLst>
    </cacheHierarchy>
    <cacheHierarchy uniqueName="[Measures].[Count of title]" caption="Count of title" measure="1" displayFolder="" measureGroup="Main" count="0" hidden="1">
      <extLst>
        <ext xmlns:x15="http://schemas.microsoft.com/office/spreadsheetml/2010/11/main" uri="{B97F6D7D-B522-45F9-BDA1-12C45D357490}">
          <x15:cacheHierarchy aggregatedColumn="6"/>
        </ext>
      </extLst>
    </cacheHierarchy>
  </cacheHierarchies>
  <kpis count="0"/>
  <dimensions count="4">
    <dimension name="Cast_Unpacked" uniqueName="[Cast_Unpacked]" caption="Cast_Unpacked"/>
    <dimension name="Director_Unpacked" uniqueName="[Director_Unpacked]" caption="Director_Unpacked"/>
    <dimension name="Main" uniqueName="[Main]" caption="Main"/>
    <dimension measure="1" name="Measures" uniqueName="[Measures]" caption="Measures"/>
  </dimensions>
  <measureGroups count="3">
    <measureGroup name="Cast_Unpacked" caption="Cast_Unpacked"/>
    <measureGroup name="Director_Unpacked" caption="Director_Unpacked"/>
    <measureGroup name="Main" caption="Main"/>
  </measureGroups>
  <maps count="5">
    <map measureGroup="0" dimension="0"/>
    <map measureGroup="0" dimension="2"/>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ahmad" refreshedDate="46281.934280092595" backgroundQuery="1" createdVersion="8" refreshedVersion="8" minRefreshableVersion="3" recordCount="0" supportSubquery="1" supportAdvancedDrill="1" xr:uid="{F92DDC7F-37B4-4A8F-ACC3-B236058EEB5F}">
  <cacheSource type="external" connectionId="4"/>
  <cacheFields count="2">
    <cacheField name="[Main].[country].[country]" caption="country" numFmtId="0" hierarchy="9" level="1">
      <sharedItems count="10">
        <s v="Canada"/>
        <s v="Canada, United States"/>
        <s v="United Kingdom"/>
        <s v="United Kingdom, United States"/>
        <s v="United States"/>
        <s v="United States, Australia"/>
        <s v="United States, Canada"/>
        <s v="United States, France"/>
        <s v="United States, United Kingdom"/>
        <s v="Unknown Country"/>
      </sharedItems>
    </cacheField>
    <cacheField name="[Measures].[Count of show_id]" caption="Count of show_id" numFmtId="0" hierarchy="32" level="32767"/>
  </cacheFields>
  <cacheHierarchies count="36">
    <cacheHierarchy uniqueName="[Cast_Unpacked].[show_id]" caption="show_id" attribute="1" defaultMemberUniqueName="[Cast_Unpacked].[show_id].[All]" allUniqueName="[Cast_Unpacked].[show_id].[All]" dimensionUniqueName="[Cast_Unpacked]" displayFolder="" count="0" memberValueDatatype="130" unbalanced="0"/>
    <cacheHierarchy uniqueName="[Cast_Unpacked].[cast]" caption="cast" attribute="1" defaultMemberUniqueName="[Cast_Unpacked].[cast].[All]" allUniqueName="[Cast_Unpacked].[cast].[All]" dimensionUniqueName="[Cast_Unpacked]" displayFolder="" count="0" memberValueDatatype="130" unbalanced="0"/>
    <cacheHierarchy uniqueName="[Director_Unpacked].[show_id]" caption="show_id" attribute="1" defaultMemberUniqueName="[Director_Unpacked].[show_id].[All]" allUniqueName="[Director_Unpacked].[show_id].[All]" dimensionUniqueName="[Director_Unpacked]" displayFolder="" count="0" memberValueDatatype="130" unbalanced="0"/>
    <cacheHierarchy uniqueName="[Director_Unpacked].[director]" caption="director" attribute="1" defaultMemberUniqueName="[Director_Unpacked].[director].[All]" allUniqueName="[Director_Unpacked].[director].[All]" dimensionUniqueName="[Director_Unpacked]" displayFolder="" count="0" memberValueDatatype="130" unbalanced="0"/>
    <cacheHierarchy uniqueName="[Main].[show_id]" caption="show_id" attribute="1" defaultMemberUniqueName="[Main].[show_id].[All]" allUniqueName="[Main].[show_id].[All]" dimensionUniqueName="[Main]" displayFolder="" count="0" memberValueDatatype="130" unbalanced="0"/>
    <cacheHierarchy uniqueName="[Main].[type]" caption="type" attribute="1" defaultMemberUniqueName="[Main].[type].[All]" allUniqueName="[Main].[type].[All]" dimensionUniqueName="[Main]" displayFolder="" count="0" memberValueDatatype="130" unbalanced="0"/>
    <cacheHierarchy uniqueName="[Main].[title]" caption="title" attribute="1" defaultMemberUniqueName="[Main].[title].[All]" allUniqueName="[Main].[title].[All]" dimensionUniqueName="[Main]" displayFolder="" count="0" memberValueDatatype="130" unbalanced="0"/>
    <cacheHierarchy uniqueName="[Main].[director]" caption="director" attribute="1" defaultMemberUniqueName="[Main].[director].[All]" allUniqueName="[Main].[director].[All]" dimensionUniqueName="[Main]" displayFolder="" count="0" memberValueDatatype="130" unbalanced="0"/>
    <cacheHierarchy uniqueName="[Main].[cast]" caption="cast" attribute="1" defaultMemberUniqueName="[Main].[cast].[All]" allUniqueName="[Main].[cast].[All]" dimensionUniqueName="[Main]" displayFolder="" count="0" memberValueDatatype="130" unbalanced="0"/>
    <cacheHierarchy uniqueName="[Main].[country]" caption="country" attribute="1" defaultMemberUniqueName="[Main].[country].[All]" allUniqueName="[Main].[country].[All]" dimensionUniqueName="[Main]" displayFolder="" count="2" memberValueDatatype="130" unbalanced="0">
      <fieldsUsage count="2">
        <fieldUsage x="-1"/>
        <fieldUsage x="0"/>
      </fieldsUsage>
    </cacheHierarchy>
    <cacheHierarchy uniqueName="[Main].[date_added]" caption="date_added" attribute="1" time="1" defaultMemberUniqueName="[Main].[date_added].[All]" allUniqueName="[Main].[date_added].[All]" dimensionUniqueName="[Main]" displayFolder="" count="0" memberValueDatatype="7" unbalanced="0"/>
    <cacheHierarchy uniqueName="[Main].[release_year]" caption="release_year" attribute="1" defaultMemberUniqueName="[Main].[release_year].[All]" allUniqueName="[Main].[release_year].[All]" dimensionUniqueName="[Main]" displayFolder="" count="0" memberValueDatatype="20" unbalanced="0"/>
    <cacheHierarchy uniqueName="[Main].[rating]" caption="rating" attribute="1" defaultMemberUniqueName="[Main].[rating].[All]" allUniqueName="[Main].[rating].[All]" dimensionUniqueName="[Main]" displayFolder="" count="0" memberValueDatatype="130" unbalanced="0"/>
    <cacheHierarchy uniqueName="[Main].[duration]" caption="duration" attribute="1" defaultMemberUniqueName="[Main].[duration].[All]" allUniqueName="[Main].[duration].[All]" dimensionUniqueName="[Main]" displayFolder="" count="0" memberValueDatatype="130" unbalanced="0"/>
    <cacheHierarchy uniqueName="[Main].[listed_in]" caption="listed_in" attribute="1" defaultMemberUniqueName="[Main].[listed_in].[All]" allUniqueName="[Main].[listed_in].[All]" dimensionUniqueName="[Main]" displayFolder="" count="0" memberValueDatatype="130" unbalanced="0"/>
    <cacheHierarchy uniqueName="[Main].[description]" caption="description" attribute="1" defaultMemberUniqueName="[Main].[description].[All]" allUniqueName="[Main].[description].[All]" dimensionUniqueName="[Main]" displayFolder="" count="0" memberValueDatatype="130" unbalanced="0"/>
    <cacheHierarchy uniqueName="[Main].[year_added]" caption="year_added" attribute="1" defaultMemberUniqueName="[Main].[year_added].[All]" allUniqueName="[Main].[year_added].[All]" dimensionUniqueName="[Main]" displayFolder="" count="0" memberValueDatatype="20" unbalanced="0"/>
    <cacheHierarchy uniqueName="[Main].[month_added]" caption="month_added" attribute="1" defaultMemberUniqueName="[Main].[month_added].[All]" allUniqueName="[Main].[month_added].[All]" dimensionUniqueName="[Main]" displayFolder="" count="0" memberValueDatatype="20" unbalanced="0"/>
    <cacheHierarchy uniqueName="[Main].[day_name_added]" caption="day_name_added" attribute="1" defaultMemberUniqueName="[Main].[day_name_added].[All]" allUniqueName="[Main].[day_name_added].[All]" dimensionUniqueName="[Main]" displayFolder="" count="0" memberValueDatatype="130" unbalanced="0"/>
    <cacheHierarchy uniqueName="[Main].[duration_num]" caption="duration_num" attribute="1" defaultMemberUniqueName="[Main].[duration_num].[All]" allUniqueName="[Main].[duration_num].[All]" dimensionUniqueName="[Main]" displayFolder="" count="0" memberValueDatatype="20" unbalanced="0"/>
    <cacheHierarchy uniqueName="[Main].[duration_unit]" caption="duration_unit" attribute="1" defaultMemberUniqueName="[Main].[duration_unit].[All]" allUniqueName="[Main].[duration_unit].[All]" dimensionUniqueName="[Main]" displayFolder="" count="0" memberValueDatatype="130" unbalanced="0"/>
    <cacheHierarchy uniqueName="[Main].[primary_genre]" caption="primary_genre" attribute="1" defaultMemberUniqueName="[Main].[primary_genre].[All]" allUniqueName="[Main].[primary_genre].[All]" dimensionUniqueName="[Main]" displayFolder="" count="0" memberValueDatatype="130" unbalanced="0"/>
    <cacheHierarchy uniqueName="[Main].[content_age]" caption="content_age" attribute="1" defaultMemberUniqueName="[Main].[content_age].[All]" allUniqueName="[Main].[content_age].[All]" dimensionUniqueName="[Main]" displayFolder="" count="0" memberValueDatatype="20" unbalanced="0"/>
    <cacheHierarchy uniqueName="[Measures].[Unique_Directors]" caption="Unique_Directors" measure="1" displayFolder="" measureGroup="Director_Unpacked" count="0"/>
    <cacheHierarchy uniqueName="[Measures].[Unique_Countries]" caption="Unique_Countries" measure="1" displayFolder="" measureGroup="Main" count="0"/>
    <cacheHierarchy uniqueName="[Measures].[US_Production_Pct]" caption="US_Production_Pct" measure="1" displayFolder="" measureGroup="Main" count="0"/>
    <cacheHierarchy uniqueName="[Measures].[Unknown_Country_Pct]" caption="Unknown_Country_Pct" measure="1" displayFolder="" measureGroup="Main" count="0"/>
    <cacheHierarchy uniqueName="[Measures].[Avg_Titles_Per_Director]" caption="Avg_Titles_Per_Director" measure="1" displayFolder="" measureGroup="Director_Unpacked" count="0"/>
    <cacheHierarchy uniqueName="[Measures].[__XL_Count Director_Unpacked]" caption="__XL_Count Director_Unpacked" measure="1" displayFolder="" measureGroup="Director_Unpacked" count="0" hidden="1"/>
    <cacheHierarchy uniqueName="[Measures].[__XL_Count Main]" caption="__XL_Count Main" measure="1" displayFolder="" measureGroup="Main" count="0" hidden="1"/>
    <cacheHierarchy uniqueName="[Measures].[__XL_Count Cast_Unpacked]" caption="__XL_Count Cast_Unpacked" measure="1" displayFolder="" measureGroup="Cast_Unpacked" count="0" hidden="1"/>
    <cacheHierarchy uniqueName="[Measures].[__No measures defined]" caption="__No measures defined" measure="1" displayFolder="" count="0" hidden="1"/>
    <cacheHierarchy uniqueName="[Measures].[Count of show_id]" caption="Count of show_id" measure="1" displayFolder="" measureGroup="Main" count="0" oneField="1" hidden="1">
      <fieldsUsage count="1">
        <fieldUsage x="1"/>
      </fieldsUsage>
      <extLst>
        <ext xmlns:x15="http://schemas.microsoft.com/office/spreadsheetml/2010/11/main" uri="{B97F6D7D-B522-45F9-BDA1-12C45D357490}">
          <x15:cacheHierarchy aggregatedColumn="4"/>
        </ext>
      </extLst>
    </cacheHierarchy>
    <cacheHierarchy uniqueName="[Measures].[Count of show_id 2]" caption="Count of show_id 2" measure="1" displayFolder="" measureGroup="Director_Unpacked" count="0" hidden="1">
      <extLst>
        <ext xmlns:x15="http://schemas.microsoft.com/office/spreadsheetml/2010/11/main" uri="{B97F6D7D-B522-45F9-BDA1-12C45D357490}">
          <x15:cacheHierarchy aggregatedColumn="2"/>
        </ext>
      </extLst>
    </cacheHierarchy>
    <cacheHierarchy uniqueName="[Measures].[Count of show_id 3]" caption="Count of show_id 3" measure="1" displayFolder="" measureGroup="Cast_Unpacked" count="0" hidden="1">
      <extLst>
        <ext xmlns:x15="http://schemas.microsoft.com/office/spreadsheetml/2010/11/main" uri="{B97F6D7D-B522-45F9-BDA1-12C45D357490}">
          <x15:cacheHierarchy aggregatedColumn="0"/>
        </ext>
      </extLst>
    </cacheHierarchy>
    <cacheHierarchy uniqueName="[Measures].[Count of title]" caption="Count of title" measure="1" displayFolder="" measureGroup="Main" count="0" hidden="1">
      <extLst>
        <ext xmlns:x15="http://schemas.microsoft.com/office/spreadsheetml/2010/11/main" uri="{B97F6D7D-B522-45F9-BDA1-12C45D357490}">
          <x15:cacheHierarchy aggregatedColumn="6"/>
        </ext>
      </extLst>
    </cacheHierarchy>
  </cacheHierarchies>
  <kpis count="0"/>
  <dimensions count="4">
    <dimension name="Cast_Unpacked" uniqueName="[Cast_Unpacked]" caption="Cast_Unpacked"/>
    <dimension name="Director_Unpacked" uniqueName="[Director_Unpacked]" caption="Director_Unpacked"/>
    <dimension name="Main" uniqueName="[Main]" caption="Main"/>
    <dimension measure="1" name="Measures" uniqueName="[Measures]" caption="Measures"/>
  </dimensions>
  <measureGroups count="3">
    <measureGroup name="Cast_Unpacked" caption="Cast_Unpacked"/>
    <measureGroup name="Director_Unpacked" caption="Director_Unpacked"/>
    <measureGroup name="Main" caption="Main"/>
  </measureGroups>
  <maps count="5">
    <map measureGroup="0" dimension="0"/>
    <map measureGroup="0" dimension="2"/>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ad" refreshedDate="46282.153165509262" backgroundQuery="1" createdVersion="8" refreshedVersion="8" minRefreshableVersion="3" recordCount="0" supportSubquery="1" supportAdvancedDrill="1" xr:uid="{66DEE726-E154-4630-8C91-C581C384BE33}">
  <cacheSource type="external" connectionId="4"/>
  <cacheFields count="2">
    <cacheField name="[Main].[year_added].[year_added]" caption="year_added" numFmtId="0" hierarchy="16" level="1">
      <sharedItems containsSemiMixedTypes="0" containsString="0" containsNumber="1" containsInteger="1" minValue="2019" maxValue="2021" count="3">
        <n v="2019"/>
        <n v="2020"/>
        <n v="2021"/>
      </sharedItems>
      <extLst>
        <ext xmlns:x15="http://schemas.microsoft.com/office/spreadsheetml/2010/11/main" uri="{4F2E5C28-24EA-4eb8-9CBF-B6C8F9C3D259}">
          <x15:cachedUniqueNames>
            <x15:cachedUniqueName index="0" name="[Main].[year_added].&amp;[2019]"/>
            <x15:cachedUniqueName index="1" name="[Main].[year_added].&amp;[2020]"/>
            <x15:cachedUniqueName index="2" name="[Main].[year_added].&amp;[2021]"/>
          </x15:cachedUniqueNames>
        </ext>
      </extLst>
    </cacheField>
    <cacheField name="[Measures].[Unique_Countries]" caption="Unique_Countries" numFmtId="0" hierarchy="24" level="32767"/>
  </cacheFields>
  <cacheHierarchies count="36">
    <cacheHierarchy uniqueName="[Cast_Unpacked].[show_id]" caption="show_id" attribute="1" defaultMemberUniqueName="[Cast_Unpacked].[show_id].[All]" allUniqueName="[Cast_Unpacked].[show_id].[All]" dimensionUniqueName="[Cast_Unpacked]" displayFolder="" count="0" memberValueDatatype="130" unbalanced="0"/>
    <cacheHierarchy uniqueName="[Cast_Unpacked].[cast]" caption="cast" attribute="1" defaultMemberUniqueName="[Cast_Unpacked].[cast].[All]" allUniqueName="[Cast_Unpacked].[cast].[All]" dimensionUniqueName="[Cast_Unpacked]" displayFolder="" count="0" memberValueDatatype="130" unbalanced="0"/>
    <cacheHierarchy uniqueName="[Director_Unpacked].[show_id]" caption="show_id" attribute="1" defaultMemberUniqueName="[Director_Unpacked].[show_id].[All]" allUniqueName="[Director_Unpacked].[show_id].[All]" dimensionUniqueName="[Director_Unpacked]" displayFolder="" count="0" memberValueDatatype="130" unbalanced="0"/>
    <cacheHierarchy uniqueName="[Director_Unpacked].[director]" caption="director" attribute="1" defaultMemberUniqueName="[Director_Unpacked].[director].[All]" allUniqueName="[Director_Unpacked].[director].[All]" dimensionUniqueName="[Director_Unpacked]" displayFolder="" count="0" memberValueDatatype="130" unbalanced="0"/>
    <cacheHierarchy uniqueName="[Main].[show_id]" caption="show_id" attribute="1" defaultMemberUniqueName="[Main].[show_id].[All]" allUniqueName="[Main].[show_id].[All]" dimensionUniqueName="[Main]" displayFolder="" count="0" memberValueDatatype="130" unbalanced="0"/>
    <cacheHierarchy uniqueName="[Main].[type]" caption="type" attribute="1" defaultMemberUniqueName="[Main].[type].[All]" allUniqueName="[Main].[type].[All]" dimensionUniqueName="[Main]" displayFolder="" count="0" memberValueDatatype="130" unbalanced="0"/>
    <cacheHierarchy uniqueName="[Main].[title]" caption="title" attribute="1" defaultMemberUniqueName="[Main].[title].[All]" allUniqueName="[Main].[title].[All]" dimensionUniqueName="[Main]" displayFolder="" count="0" memberValueDatatype="130" unbalanced="0"/>
    <cacheHierarchy uniqueName="[Main].[director]" caption="director" attribute="1" defaultMemberUniqueName="[Main].[director].[All]" allUniqueName="[Main].[director].[All]" dimensionUniqueName="[Main]" displayFolder="" count="0" memberValueDatatype="130" unbalanced="0"/>
    <cacheHierarchy uniqueName="[Main].[cast]" caption="cast" attribute="1" defaultMemberUniqueName="[Main].[cast].[All]" allUniqueName="[Main].[cast].[All]" dimensionUniqueName="[Main]" displayFolder="" count="0" memberValueDatatype="130" unbalanced="0"/>
    <cacheHierarchy uniqueName="[Main].[country]" caption="country" attribute="1" defaultMemberUniqueName="[Main].[country].[All]" allUniqueName="[Main].[country].[All]" dimensionUniqueName="[Main]" displayFolder="" count="0" memberValueDatatype="130" unbalanced="0"/>
    <cacheHierarchy uniqueName="[Main].[date_added]" caption="date_added" attribute="1" time="1" defaultMemberUniqueName="[Main].[date_added].[All]" allUniqueName="[Main].[date_added].[All]" dimensionUniqueName="[Main]" displayFolder="" count="0" memberValueDatatype="7" unbalanced="0"/>
    <cacheHierarchy uniqueName="[Main].[release_year]" caption="release_year" attribute="1" defaultMemberUniqueName="[Main].[release_year].[All]" allUniqueName="[Main].[release_year].[All]" dimensionUniqueName="[Main]" displayFolder="" count="0" memberValueDatatype="20" unbalanced="0"/>
    <cacheHierarchy uniqueName="[Main].[rating]" caption="rating" attribute="1" defaultMemberUniqueName="[Main].[rating].[All]" allUniqueName="[Main].[rating].[All]" dimensionUniqueName="[Main]" displayFolder="" count="0" memberValueDatatype="130" unbalanced="0"/>
    <cacheHierarchy uniqueName="[Main].[duration]" caption="duration" attribute="1" defaultMemberUniqueName="[Main].[duration].[All]" allUniqueName="[Main].[duration].[All]" dimensionUniqueName="[Main]" displayFolder="" count="0" memberValueDatatype="130" unbalanced="0"/>
    <cacheHierarchy uniqueName="[Main].[listed_in]" caption="listed_in" attribute="1" defaultMemberUniqueName="[Main].[listed_in].[All]" allUniqueName="[Main].[listed_in].[All]" dimensionUniqueName="[Main]" displayFolder="" count="0" memberValueDatatype="130" unbalanced="0"/>
    <cacheHierarchy uniqueName="[Main].[description]" caption="description" attribute="1" defaultMemberUniqueName="[Main].[description].[All]" allUniqueName="[Main].[description].[All]" dimensionUniqueName="[Main]" displayFolder="" count="0" memberValueDatatype="130" unbalanced="0"/>
    <cacheHierarchy uniqueName="[Main].[year_added]" caption="year_added" attribute="1" defaultMemberUniqueName="[Main].[year_added].[All]" allUniqueName="[Main].[year_added].[All]" dimensionUniqueName="[Main]" displayFolder="" count="2" memberValueDatatype="20" unbalanced="0">
      <fieldsUsage count="2">
        <fieldUsage x="-1"/>
        <fieldUsage x="0"/>
      </fieldsUsage>
    </cacheHierarchy>
    <cacheHierarchy uniqueName="[Main].[month_added]" caption="month_added" attribute="1" defaultMemberUniqueName="[Main].[month_added].[All]" allUniqueName="[Main].[month_added].[All]" dimensionUniqueName="[Main]" displayFolder="" count="0" memberValueDatatype="20" unbalanced="0"/>
    <cacheHierarchy uniqueName="[Main].[day_name_added]" caption="day_name_added" attribute="1" defaultMemberUniqueName="[Main].[day_name_added].[All]" allUniqueName="[Main].[day_name_added].[All]" dimensionUniqueName="[Main]" displayFolder="" count="0" memberValueDatatype="130" unbalanced="0"/>
    <cacheHierarchy uniqueName="[Main].[duration_num]" caption="duration_num" attribute="1" defaultMemberUniqueName="[Main].[duration_num].[All]" allUniqueName="[Main].[duration_num].[All]" dimensionUniqueName="[Main]" displayFolder="" count="0" memberValueDatatype="20" unbalanced="0"/>
    <cacheHierarchy uniqueName="[Main].[duration_unit]" caption="duration_unit" attribute="1" defaultMemberUniqueName="[Main].[duration_unit].[All]" allUniqueName="[Main].[duration_unit].[All]" dimensionUniqueName="[Main]" displayFolder="" count="0" memberValueDatatype="130" unbalanced="0"/>
    <cacheHierarchy uniqueName="[Main].[primary_genre]" caption="primary_genre" attribute="1" defaultMemberUniqueName="[Main].[primary_genre].[All]" allUniqueName="[Main].[primary_genre].[All]" dimensionUniqueName="[Main]" displayFolder="" count="0" memberValueDatatype="130" unbalanced="0"/>
    <cacheHierarchy uniqueName="[Main].[content_age]" caption="content_age" attribute="1" defaultMemberUniqueName="[Main].[content_age].[All]" allUniqueName="[Main].[content_age].[All]" dimensionUniqueName="[Main]" displayFolder="" count="0" memberValueDatatype="20" unbalanced="0"/>
    <cacheHierarchy uniqueName="[Measures].[Unique_Directors]" caption="Unique_Directors" measure="1" displayFolder="" measureGroup="Director_Unpacked" count="0"/>
    <cacheHierarchy uniqueName="[Measures].[Unique_Countries]" caption="Unique_Countries" measure="1" displayFolder="" measureGroup="Main" count="0" oneField="1">
      <fieldsUsage count="1">
        <fieldUsage x="1"/>
      </fieldsUsage>
    </cacheHierarchy>
    <cacheHierarchy uniqueName="[Measures].[US_Production_Pct]" caption="US_Production_Pct" measure="1" displayFolder="" measureGroup="Main" count="0"/>
    <cacheHierarchy uniqueName="[Measures].[Unknown_Country_Pct]" caption="Unknown_Country_Pct" measure="1" displayFolder="" measureGroup="Main" count="0"/>
    <cacheHierarchy uniqueName="[Measures].[Avg_Titles_Per_Director]" caption="Avg_Titles_Per_Director" measure="1" displayFolder="" measureGroup="Director_Unpacked" count="0"/>
    <cacheHierarchy uniqueName="[Measures].[__XL_Count Director_Unpacked]" caption="__XL_Count Director_Unpacked" measure="1" displayFolder="" measureGroup="Director_Unpacked" count="0" hidden="1"/>
    <cacheHierarchy uniqueName="[Measures].[__XL_Count Main]" caption="__XL_Count Main" measure="1" displayFolder="" measureGroup="Main" count="0" hidden="1"/>
    <cacheHierarchy uniqueName="[Measures].[__XL_Count Cast_Unpacked]" caption="__XL_Count Cast_Unpacked" measure="1" displayFolder="" measureGroup="Cast_Unpacked" count="0" hidden="1"/>
    <cacheHierarchy uniqueName="[Measures].[__No measures defined]" caption="__No measures defined" measure="1" displayFolder="" count="0" hidden="1"/>
    <cacheHierarchy uniqueName="[Measures].[Count of show_id]" caption="Count of show_id" measure="1" displayFolder="" measureGroup="Main" count="0" hidden="1">
      <extLst>
        <ext xmlns:x15="http://schemas.microsoft.com/office/spreadsheetml/2010/11/main" uri="{B97F6D7D-B522-45F9-BDA1-12C45D357490}">
          <x15:cacheHierarchy aggregatedColumn="4"/>
        </ext>
      </extLst>
    </cacheHierarchy>
    <cacheHierarchy uniqueName="[Measures].[Count of show_id 2]" caption="Count of show_id 2" measure="1" displayFolder="" measureGroup="Director_Unpacked" count="0" hidden="1">
      <extLst>
        <ext xmlns:x15="http://schemas.microsoft.com/office/spreadsheetml/2010/11/main" uri="{B97F6D7D-B522-45F9-BDA1-12C45D357490}">
          <x15:cacheHierarchy aggregatedColumn="2"/>
        </ext>
      </extLst>
    </cacheHierarchy>
    <cacheHierarchy uniqueName="[Measures].[Count of show_id 3]" caption="Count of show_id 3" measure="1" displayFolder="" measureGroup="Cast_Unpacked" count="0" hidden="1">
      <extLst>
        <ext xmlns:x15="http://schemas.microsoft.com/office/spreadsheetml/2010/11/main" uri="{B97F6D7D-B522-45F9-BDA1-12C45D357490}">
          <x15:cacheHierarchy aggregatedColumn="0"/>
        </ext>
      </extLst>
    </cacheHierarchy>
    <cacheHierarchy uniqueName="[Measures].[Count of title]" caption="Count of title" measure="1" displayFolder="" measureGroup="Main" count="0" hidden="1">
      <extLst>
        <ext xmlns:x15="http://schemas.microsoft.com/office/spreadsheetml/2010/11/main" uri="{B97F6D7D-B522-45F9-BDA1-12C45D357490}">
          <x15:cacheHierarchy aggregatedColumn="6"/>
        </ext>
      </extLst>
    </cacheHierarchy>
  </cacheHierarchies>
  <kpis count="0"/>
  <dimensions count="4">
    <dimension name="Cast_Unpacked" uniqueName="[Cast_Unpacked]" caption="Cast_Unpacked"/>
    <dimension name="Director_Unpacked" uniqueName="[Director_Unpacked]" caption="Director_Unpacked"/>
    <dimension name="Main" uniqueName="[Main]" caption="Main"/>
    <dimension measure="1" name="Measures" uniqueName="[Measures]" caption="Measures"/>
  </dimensions>
  <measureGroups count="3">
    <measureGroup name="Cast_Unpacked" caption="Cast_Unpacked"/>
    <measureGroup name="Director_Unpacked" caption="Director_Unpacked"/>
    <measureGroup name="Main" caption="Main"/>
  </measureGroups>
  <maps count="5">
    <map measureGroup="0" dimension="0"/>
    <map measureGroup="0" dimension="2"/>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ad" refreshedDate="46283.019200347226" backgroundQuery="1" createdVersion="8" refreshedVersion="8" minRefreshableVersion="3" recordCount="0" supportSubquery="1" supportAdvancedDrill="1" xr:uid="{8EE17932-DB2C-4272-A3F0-86312B534577}">
  <cacheSource type="external" connectionId="4"/>
  <cacheFields count="3">
    <cacheField name="[Main].[country].[country]" caption="country" numFmtId="0" hierarchy="9" level="1">
      <sharedItems count="90">
        <s v="Canada, United States"/>
        <s v="United Kingdom"/>
        <s v="United Kingdom, Canada, United States"/>
        <s v="United Kingdom, United States"/>
        <s v="United States"/>
        <s v="United States, Australia"/>
        <s v="United States, Canada"/>
        <s v="United States, France"/>
        <s v="United States, United Kingdom"/>
        <s v="Unknown Country"/>
        <s v="Canada" u="1"/>
        <s v="Argentina" u="1"/>
        <s v="Argentina, Mexico" u="1"/>
        <s v="Australia, United Kingdom" u="1"/>
        <s v="Australia, United States" u="1"/>
        <s v="Austria, South Africa" u="1"/>
        <s v="Austria, United Kingdom, United States" u="1"/>
        <s v="Canada, Malaysia, United States" u="1"/>
        <s v="Canada, United States, France" u="1"/>
        <s v="Canada, United States, United Kingdom, France, Luxembourg" u="1"/>
        <s v="China" u="1"/>
        <s v="China, Hong Kong, United States" u="1"/>
        <s v="Denmark, China" u="1"/>
        <s v="France" u="1"/>
        <s v="France, Canada, United States" u="1"/>
        <s v="France, Japan" u="1"/>
        <s v="France, South Korea, Japan, United States" u="1"/>
        <s v="France, Switzerland, Spain, United States, United Arab Emirates" u="1"/>
        <s v="France, United Kingdom" u="1"/>
        <s v="France, United Kingdom, United States" u="1"/>
        <s v="France, United States" u="1"/>
        <s v="Germany" u="1"/>
        <s v="Germany, United States" u="1"/>
        <s v="India" u="1"/>
        <s v="Ireland, United Kingdom, United States, South Korea, Canada" u="1"/>
        <s v="Ireland, United States" u="1"/>
        <s v="Ireland, United States, Canada, United Kingdom, Denmark, Spain, Poland, Hungary" u="1"/>
        <s v="New Zealand, United States" u="1"/>
        <s v="Norway, Sweden, United States" u="1"/>
        <s v="South Korea, United States, China, Japan" u="1"/>
        <s v="Tanzania, United States" u="1"/>
        <s v="United Arab Emirates" u="1"/>
        <s v="United Kingdom, Australia" u="1"/>
        <s v="United Kingdom, China, United States" u="1"/>
        <s v="United Kingdom, France" u="1"/>
        <s v="United Kingdom, Germany" u="1"/>
        <s v="United Kingdom, Germany, United States" u="1"/>
        <s v="United Kingdom, United States, Canada" u="1"/>
        <s v="United Kingdom, United States, Canada, Ireland" u="1"/>
        <s v="United Kingdom, United States, France" u="1"/>
        <s v="United Kingdom, United States, Ireland" u="1"/>
        <s v="United States, Angola, Botswana, Namibia, South Africa" u="1"/>
        <s v="United States, Australia, France, Canada" u="1"/>
        <s v="United States, Brazil" u="1"/>
        <s v="United States, Canada, Australia" u="1"/>
        <s v="United States, Canada, Australia, Taiwan" u="1"/>
        <s v="United States, Canada, Hong Kong" u="1"/>
        <s v="United States, Canada, Ireland" u="1"/>
        <s v="United States, Canada, United Kingdom, Singapore, Australia, Thailand" u="1"/>
        <s v="United States, Denmark" u="1"/>
        <s v="United States, Germany" u="1"/>
        <s v="United States, Germany, Ireland, United Kingdom" u="1"/>
        <s v="United States, Germany, United Kingdom" u="1"/>
        <s v="United States, Guatemala" u="1"/>
        <s v="United States, Hong Kong, South Korea, France, Canada, China, United Kingdom, Australia, Japan, Taiwan, Philippines" u="1"/>
        <s v="United States, Hungary, United Kingdom" u="1"/>
        <s v="United States, India" u="1"/>
        <s v="United States, India, United Kingdom" u="1"/>
        <s v="United States, Ireland" u="1"/>
        <s v="United States, Japan" u="1"/>
        <s v="United States, Mexico" u="1"/>
        <s v="United States, New Zealand" u="1"/>
        <s v="United States, Panama, Mexico" u="1"/>
        <s v="United States, Philippines, South Korea" u="1"/>
        <s v="United States, Poland, Slovenia, Czech Republic, United Kingdom" u="1"/>
        <s v="United States, South Korea" u="1"/>
        <s v="United States, South Korea, China, Taiwan" u="1"/>
        <s v="United States, South Korea, France" u="1"/>
        <s v="United States, South Korea, Singapore, Russia, Malaysia, Kazakhstan, Taiwan, Hong Kong, Japan, China, India, Syria, Iran, Egypt, Pakistan" u="1"/>
        <s v="United States, Spain" u="1"/>
        <s v="United States, Spain, France, Canada, United Kingdom" u="1"/>
        <s v="United States, Taiwan, China" u="1"/>
        <s v="United States, Taiwan, South Korea, China, Japan, United Kingdom" u="1"/>
        <s v="United States, United Kingdom, Australia" u="1"/>
        <s v="United States, United Kingdom, Australia, Canada" u="1"/>
        <s v="United States, United Kingdom, Belgium, Canada" u="1"/>
        <s v="United States, United Kingdom, Canada" u="1"/>
        <s v="United States, United Kingdom, Hungary" u="1"/>
        <s v="United States, United Kingdom, South Africa" u="1"/>
        <s v="United States, United Kingdom, South Korea" u="1"/>
      </sharedItems>
    </cacheField>
    <cacheField name="[Main].[primary_genre].[primary_genre]" caption="primary_genre" numFmtId="0" hierarchy="21" level="1">
      <sharedItems count="29">
        <s v="Action-Adventure"/>
        <s v="Animals &amp; Nature"/>
        <s v="Animation"/>
        <s v="Comedy"/>
        <s v="Documentary"/>
        <s v="Anthology" u="1"/>
        <s v="Biographical" u="1"/>
        <s v="Buddy" u="1"/>
        <s v="Coming of Age" u="1"/>
        <s v="Concert Film" u="1"/>
        <s v="Crime" u="1"/>
        <s v="Dance" u="1"/>
        <s v="Docuseries" u="1"/>
        <s v="Drama" u="1"/>
        <s v="Family" u="1"/>
        <s v="Fantasy" u="1"/>
        <s v="Game Show / Competition" u="1"/>
        <s v="Historical" u="1"/>
        <s v="Kids" u="1"/>
        <s v="Lifestyle" u="1"/>
        <s v="Movies" u="1"/>
        <s v="Music" u="1"/>
        <s v="Musical" u="1"/>
        <s v="Reality" u="1"/>
        <s v="Science Fiction" u="1"/>
        <s v="Series" u="1"/>
        <s v="Sports" u="1"/>
        <s v="Talk Show" u="1"/>
        <s v="Variety" u="1"/>
      </sharedItems>
    </cacheField>
    <cacheField name="[Measures].[Count of show_id]" caption="Count of show_id" numFmtId="0" hierarchy="32" level="32767"/>
  </cacheFields>
  <cacheHierarchies count="36">
    <cacheHierarchy uniqueName="[Cast_Unpacked].[show_id]" caption="show_id" attribute="1" defaultMemberUniqueName="[Cast_Unpacked].[show_id].[All]" allUniqueName="[Cast_Unpacked].[show_id].[All]" dimensionUniqueName="[Cast_Unpacked]" displayFolder="" count="0" memberValueDatatype="130" unbalanced="0"/>
    <cacheHierarchy uniqueName="[Cast_Unpacked].[cast]" caption="cast" attribute="1" defaultMemberUniqueName="[Cast_Unpacked].[cast].[All]" allUniqueName="[Cast_Unpacked].[cast].[All]" dimensionUniqueName="[Cast_Unpacked]" displayFolder="" count="0" memberValueDatatype="130" unbalanced="0"/>
    <cacheHierarchy uniqueName="[Director_Unpacked].[show_id]" caption="show_id" attribute="1" defaultMemberUniqueName="[Director_Unpacked].[show_id].[All]" allUniqueName="[Director_Unpacked].[show_id].[All]" dimensionUniqueName="[Director_Unpacked]" displayFolder="" count="0" memberValueDatatype="130" unbalanced="0"/>
    <cacheHierarchy uniqueName="[Director_Unpacked].[director]" caption="director" attribute="1" defaultMemberUniqueName="[Director_Unpacked].[director].[All]" allUniqueName="[Director_Unpacked].[director].[All]" dimensionUniqueName="[Director_Unpacked]" displayFolder="" count="0" memberValueDatatype="130" unbalanced="0"/>
    <cacheHierarchy uniqueName="[Main].[show_id]" caption="show_id" attribute="1" defaultMemberUniqueName="[Main].[show_id].[All]" allUniqueName="[Main].[show_id].[All]" dimensionUniqueName="[Main]" displayFolder="" count="0" memberValueDatatype="130" unbalanced="0"/>
    <cacheHierarchy uniqueName="[Main].[type]" caption="type" attribute="1" defaultMemberUniqueName="[Main].[type].[All]" allUniqueName="[Main].[type].[All]" dimensionUniqueName="[Main]" displayFolder="" count="0" memberValueDatatype="130" unbalanced="0"/>
    <cacheHierarchy uniqueName="[Main].[title]" caption="title" attribute="1" defaultMemberUniqueName="[Main].[title].[All]" allUniqueName="[Main].[title].[All]" dimensionUniqueName="[Main]" displayFolder="" count="0" memberValueDatatype="130" unbalanced="0"/>
    <cacheHierarchy uniqueName="[Main].[director]" caption="director" attribute="1" defaultMemberUniqueName="[Main].[director].[All]" allUniqueName="[Main].[director].[All]" dimensionUniqueName="[Main]" displayFolder="" count="0" memberValueDatatype="130" unbalanced="0"/>
    <cacheHierarchy uniqueName="[Main].[cast]" caption="cast" attribute="1" defaultMemberUniqueName="[Main].[cast].[All]" allUniqueName="[Main].[cast].[All]" dimensionUniqueName="[Main]" displayFolder="" count="0" memberValueDatatype="130" unbalanced="0"/>
    <cacheHierarchy uniqueName="[Main].[country]" caption="country" attribute="1" defaultMemberUniqueName="[Main].[country].[All]" allUniqueName="[Main].[country].[All]" dimensionUniqueName="[Main]" displayFolder="" count="2" memberValueDatatype="130" unbalanced="0">
      <fieldsUsage count="2">
        <fieldUsage x="-1"/>
        <fieldUsage x="0"/>
      </fieldsUsage>
    </cacheHierarchy>
    <cacheHierarchy uniqueName="[Main].[date_added]" caption="date_added" attribute="1" time="1" defaultMemberUniqueName="[Main].[date_added].[All]" allUniqueName="[Main].[date_added].[All]" dimensionUniqueName="[Main]" displayFolder="" count="0" memberValueDatatype="7" unbalanced="0"/>
    <cacheHierarchy uniqueName="[Main].[release_year]" caption="release_year" attribute="1" defaultMemberUniqueName="[Main].[release_year].[All]" allUniqueName="[Main].[release_year].[All]" dimensionUniqueName="[Main]" displayFolder="" count="0" memberValueDatatype="20" unbalanced="0"/>
    <cacheHierarchy uniqueName="[Main].[rating]" caption="rating" attribute="1" defaultMemberUniqueName="[Main].[rating].[All]" allUniqueName="[Main].[rating].[All]" dimensionUniqueName="[Main]" displayFolder="" count="0" memberValueDatatype="130" unbalanced="0"/>
    <cacheHierarchy uniqueName="[Main].[duration]" caption="duration" attribute="1" defaultMemberUniqueName="[Main].[duration].[All]" allUniqueName="[Main].[duration].[All]" dimensionUniqueName="[Main]" displayFolder="" count="0" memberValueDatatype="130" unbalanced="0"/>
    <cacheHierarchy uniqueName="[Main].[listed_in]" caption="listed_in" attribute="1" defaultMemberUniqueName="[Main].[listed_in].[All]" allUniqueName="[Main].[listed_in].[All]" dimensionUniqueName="[Main]" displayFolder="" count="0" memberValueDatatype="130" unbalanced="0"/>
    <cacheHierarchy uniqueName="[Main].[description]" caption="description" attribute="1" defaultMemberUniqueName="[Main].[description].[All]" allUniqueName="[Main].[description].[All]" dimensionUniqueName="[Main]" displayFolder="" count="0" memberValueDatatype="130" unbalanced="0"/>
    <cacheHierarchy uniqueName="[Main].[year_added]" caption="year_added" attribute="1" defaultMemberUniqueName="[Main].[year_added].[All]" allUniqueName="[Main].[year_added].[All]" dimensionUniqueName="[Main]" displayFolder="" count="0" memberValueDatatype="20" unbalanced="0"/>
    <cacheHierarchy uniqueName="[Main].[month_added]" caption="month_added" attribute="1" defaultMemberUniqueName="[Main].[month_added].[All]" allUniqueName="[Main].[month_added].[All]" dimensionUniqueName="[Main]" displayFolder="" count="0" memberValueDatatype="20" unbalanced="0"/>
    <cacheHierarchy uniqueName="[Main].[day_name_added]" caption="day_name_added" attribute="1" defaultMemberUniqueName="[Main].[day_name_added].[All]" allUniqueName="[Main].[day_name_added].[All]" dimensionUniqueName="[Main]" displayFolder="" count="0" memberValueDatatype="130" unbalanced="0"/>
    <cacheHierarchy uniqueName="[Main].[duration_num]" caption="duration_num" attribute="1" defaultMemberUniqueName="[Main].[duration_num].[All]" allUniqueName="[Main].[duration_num].[All]" dimensionUniqueName="[Main]" displayFolder="" count="0" memberValueDatatype="20" unbalanced="0"/>
    <cacheHierarchy uniqueName="[Main].[duration_unit]" caption="duration_unit" attribute="1" defaultMemberUniqueName="[Main].[duration_unit].[All]" allUniqueName="[Main].[duration_unit].[All]" dimensionUniqueName="[Main]" displayFolder="" count="0" memberValueDatatype="130" unbalanced="0"/>
    <cacheHierarchy uniqueName="[Main].[primary_genre]" caption="primary_genre" attribute="1" defaultMemberUniqueName="[Main].[primary_genre].[All]" allUniqueName="[Main].[primary_genre].[All]" dimensionUniqueName="[Main]" displayFolder="" count="2" memberValueDatatype="130" unbalanced="0">
      <fieldsUsage count="2">
        <fieldUsage x="-1"/>
        <fieldUsage x="1"/>
      </fieldsUsage>
    </cacheHierarchy>
    <cacheHierarchy uniqueName="[Main].[content_age]" caption="content_age" attribute="1" defaultMemberUniqueName="[Main].[content_age].[All]" allUniqueName="[Main].[content_age].[All]" dimensionUniqueName="[Main]" displayFolder="" count="0" memberValueDatatype="20" unbalanced="0"/>
    <cacheHierarchy uniqueName="[Measures].[Unique_Directors]" caption="Unique_Directors" measure="1" displayFolder="" measureGroup="Director_Unpacked" count="0"/>
    <cacheHierarchy uniqueName="[Measures].[Unique_Countries]" caption="Unique_Countries" measure="1" displayFolder="" measureGroup="Main" count="0"/>
    <cacheHierarchy uniqueName="[Measures].[US_Production_Pct]" caption="US_Production_Pct" measure="1" displayFolder="" measureGroup="Main" count="0"/>
    <cacheHierarchy uniqueName="[Measures].[Unknown_Country_Pct]" caption="Unknown_Country_Pct" measure="1" displayFolder="" measureGroup="Main" count="0"/>
    <cacheHierarchy uniqueName="[Measures].[Avg_Titles_Per_Director]" caption="Avg_Titles_Per_Director" measure="1" displayFolder="" measureGroup="Director_Unpacked" count="0"/>
    <cacheHierarchy uniqueName="[Measures].[__XL_Count Director_Unpacked]" caption="__XL_Count Director_Unpacked" measure="1" displayFolder="" measureGroup="Director_Unpacked" count="0" hidden="1"/>
    <cacheHierarchy uniqueName="[Measures].[__XL_Count Main]" caption="__XL_Count Main" measure="1" displayFolder="" measureGroup="Main" count="0" hidden="1"/>
    <cacheHierarchy uniqueName="[Measures].[__XL_Count Cast_Unpacked]" caption="__XL_Count Cast_Unpacked" measure="1" displayFolder="" measureGroup="Cast_Unpacked" count="0" hidden="1"/>
    <cacheHierarchy uniqueName="[Measures].[__No measures defined]" caption="__No measures defined" measure="1" displayFolder="" count="0" hidden="1"/>
    <cacheHierarchy uniqueName="[Measures].[Count of show_id]" caption="Count of show_id" measure="1" displayFolder="" measureGroup="Main" count="0" oneField="1" hidden="1">
      <fieldsUsage count="1">
        <fieldUsage x="2"/>
      </fieldsUsage>
      <extLst>
        <ext xmlns:x15="http://schemas.microsoft.com/office/spreadsheetml/2010/11/main" uri="{B97F6D7D-B522-45F9-BDA1-12C45D357490}">
          <x15:cacheHierarchy aggregatedColumn="4"/>
        </ext>
      </extLst>
    </cacheHierarchy>
    <cacheHierarchy uniqueName="[Measures].[Count of show_id 2]" caption="Count of show_id 2" measure="1" displayFolder="" measureGroup="Director_Unpacked" count="0" hidden="1">
      <extLst>
        <ext xmlns:x15="http://schemas.microsoft.com/office/spreadsheetml/2010/11/main" uri="{B97F6D7D-B522-45F9-BDA1-12C45D357490}">
          <x15:cacheHierarchy aggregatedColumn="2"/>
        </ext>
      </extLst>
    </cacheHierarchy>
    <cacheHierarchy uniqueName="[Measures].[Count of show_id 3]" caption="Count of show_id 3" measure="1" displayFolder="" measureGroup="Cast_Unpacked" count="0" hidden="1">
      <extLst>
        <ext xmlns:x15="http://schemas.microsoft.com/office/spreadsheetml/2010/11/main" uri="{B97F6D7D-B522-45F9-BDA1-12C45D357490}">
          <x15:cacheHierarchy aggregatedColumn="0"/>
        </ext>
      </extLst>
    </cacheHierarchy>
    <cacheHierarchy uniqueName="[Measures].[Count of title]" caption="Count of title" measure="1" displayFolder="" measureGroup="Main" count="0" hidden="1">
      <extLst>
        <ext xmlns:x15="http://schemas.microsoft.com/office/spreadsheetml/2010/11/main" uri="{B97F6D7D-B522-45F9-BDA1-12C45D357490}">
          <x15:cacheHierarchy aggregatedColumn="6"/>
        </ext>
      </extLst>
    </cacheHierarchy>
  </cacheHierarchies>
  <kpis count="0"/>
  <dimensions count="4">
    <dimension name="Cast_Unpacked" uniqueName="[Cast_Unpacked]" caption="Cast_Unpacked"/>
    <dimension name="Director_Unpacked" uniqueName="[Director_Unpacked]" caption="Director_Unpacked"/>
    <dimension name="Main" uniqueName="[Main]" caption="Main"/>
    <dimension measure="1" name="Measures" uniqueName="[Measures]" caption="Measures"/>
  </dimensions>
  <measureGroups count="3">
    <measureGroup name="Cast_Unpacked" caption="Cast_Unpacked"/>
    <measureGroup name="Director_Unpacked" caption="Director_Unpacked"/>
    <measureGroup name="Main" caption="Main"/>
  </measureGroups>
  <maps count="5">
    <map measureGroup="0" dimension="0"/>
    <map measureGroup="0" dimension="2"/>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ad" refreshedDate="46283.13260636574" backgroundQuery="1" createdVersion="8" refreshedVersion="8" minRefreshableVersion="3" recordCount="0" supportSubquery="1" supportAdvancedDrill="1" xr:uid="{7BD9BEF0-852D-43BD-9D4B-CB80A07742B0}">
  <cacheSource type="external" connectionId="4"/>
  <cacheFields count="2">
    <cacheField name="[Director_Unpacked].[director].[director]" caption="director" numFmtId="0" hierarchy="3" level="1">
      <sharedItems count="10">
        <s v="Bob Peterson"/>
        <s v="Charles Nichols"/>
        <s v="Jack Hannah"/>
        <s v="Jack Kinney"/>
        <s v="John Lasseter"/>
        <s v="Paul Hoen"/>
        <s v="Robert Stevenson"/>
        <s v="Unknown Director"/>
        <s v="Vincent McEveety"/>
        <s v="Wilfred Jackson"/>
      </sharedItems>
    </cacheField>
    <cacheField name="[Measures].[Count of show_id 2]" caption="Count of show_id 2" numFmtId="0" hierarchy="33" level="32767"/>
  </cacheFields>
  <cacheHierarchies count="36">
    <cacheHierarchy uniqueName="[Cast_Unpacked].[show_id]" caption="show_id" attribute="1" defaultMemberUniqueName="[Cast_Unpacked].[show_id].[All]" allUniqueName="[Cast_Unpacked].[show_id].[All]" dimensionUniqueName="[Cast_Unpacked]" displayFolder="" count="0" memberValueDatatype="130" unbalanced="0"/>
    <cacheHierarchy uniqueName="[Cast_Unpacked].[cast]" caption="cast" attribute="1" defaultMemberUniqueName="[Cast_Unpacked].[cast].[All]" allUniqueName="[Cast_Unpacked].[cast].[All]" dimensionUniqueName="[Cast_Unpacked]" displayFolder="" count="0" memberValueDatatype="130" unbalanced="0"/>
    <cacheHierarchy uniqueName="[Director_Unpacked].[show_id]" caption="show_id" attribute="1" defaultMemberUniqueName="[Director_Unpacked].[show_id].[All]" allUniqueName="[Director_Unpacked].[show_id].[All]" dimensionUniqueName="[Director_Unpacked]" displayFolder="" count="0" memberValueDatatype="130" unbalanced="0"/>
    <cacheHierarchy uniqueName="[Director_Unpacked].[director]" caption="director" attribute="1" defaultMemberUniqueName="[Director_Unpacked].[director].[All]" allUniqueName="[Director_Unpacked].[director].[All]" dimensionUniqueName="[Director_Unpacked]" displayFolder="" count="2" memberValueDatatype="130" unbalanced="0">
      <fieldsUsage count="2">
        <fieldUsage x="-1"/>
        <fieldUsage x="0"/>
      </fieldsUsage>
    </cacheHierarchy>
    <cacheHierarchy uniqueName="[Main].[show_id]" caption="show_id" attribute="1" defaultMemberUniqueName="[Main].[show_id].[All]" allUniqueName="[Main].[show_id].[All]" dimensionUniqueName="[Main]" displayFolder="" count="0" memberValueDatatype="130" unbalanced="0"/>
    <cacheHierarchy uniqueName="[Main].[type]" caption="type" attribute="1" defaultMemberUniqueName="[Main].[type].[All]" allUniqueName="[Main].[type].[All]" dimensionUniqueName="[Main]" displayFolder="" count="0" memberValueDatatype="130" unbalanced="0"/>
    <cacheHierarchy uniqueName="[Main].[title]" caption="title" attribute="1" defaultMemberUniqueName="[Main].[title].[All]" allUniqueName="[Main].[title].[All]" dimensionUniqueName="[Main]" displayFolder="" count="0" memberValueDatatype="130" unbalanced="0"/>
    <cacheHierarchy uniqueName="[Main].[director]" caption="director" attribute="1" defaultMemberUniqueName="[Main].[director].[All]" allUniqueName="[Main].[director].[All]" dimensionUniqueName="[Main]" displayFolder="" count="0" memberValueDatatype="130" unbalanced="0"/>
    <cacheHierarchy uniqueName="[Main].[cast]" caption="cast" attribute="1" defaultMemberUniqueName="[Main].[cast].[All]" allUniqueName="[Main].[cast].[All]" dimensionUniqueName="[Main]" displayFolder="" count="0" memberValueDatatype="130" unbalanced="0"/>
    <cacheHierarchy uniqueName="[Main].[country]" caption="country" attribute="1" defaultMemberUniqueName="[Main].[country].[All]" allUniqueName="[Main].[country].[All]" dimensionUniqueName="[Main]" displayFolder="" count="0" memberValueDatatype="130" unbalanced="0"/>
    <cacheHierarchy uniqueName="[Main].[date_added]" caption="date_added" attribute="1" time="1" defaultMemberUniqueName="[Main].[date_added].[All]" allUniqueName="[Main].[date_added].[All]" dimensionUniqueName="[Main]" displayFolder="" count="0" memberValueDatatype="7" unbalanced="0"/>
    <cacheHierarchy uniqueName="[Main].[release_year]" caption="release_year" attribute="1" defaultMemberUniqueName="[Main].[release_year].[All]" allUniqueName="[Main].[release_year].[All]" dimensionUniqueName="[Main]" displayFolder="" count="0" memberValueDatatype="20" unbalanced="0"/>
    <cacheHierarchy uniqueName="[Main].[rating]" caption="rating" attribute="1" defaultMemberUniqueName="[Main].[rating].[All]" allUniqueName="[Main].[rating].[All]" dimensionUniqueName="[Main]" displayFolder="" count="0" memberValueDatatype="130" unbalanced="0"/>
    <cacheHierarchy uniqueName="[Main].[duration]" caption="duration" attribute="1" defaultMemberUniqueName="[Main].[duration].[All]" allUniqueName="[Main].[duration].[All]" dimensionUniqueName="[Main]" displayFolder="" count="0" memberValueDatatype="130" unbalanced="0"/>
    <cacheHierarchy uniqueName="[Main].[listed_in]" caption="listed_in" attribute="1" defaultMemberUniqueName="[Main].[listed_in].[All]" allUniqueName="[Main].[listed_in].[All]" dimensionUniqueName="[Main]" displayFolder="" count="0" memberValueDatatype="130" unbalanced="0"/>
    <cacheHierarchy uniqueName="[Main].[description]" caption="description" attribute="1" defaultMemberUniqueName="[Main].[description].[All]" allUniqueName="[Main].[description].[All]" dimensionUniqueName="[Main]" displayFolder="" count="0" memberValueDatatype="130" unbalanced="0"/>
    <cacheHierarchy uniqueName="[Main].[year_added]" caption="year_added" attribute="1" defaultMemberUniqueName="[Main].[year_added].[All]" allUniqueName="[Main].[year_added].[All]" dimensionUniqueName="[Main]" displayFolder="" count="0" memberValueDatatype="20" unbalanced="0"/>
    <cacheHierarchy uniqueName="[Main].[month_added]" caption="month_added" attribute="1" defaultMemberUniqueName="[Main].[month_added].[All]" allUniqueName="[Main].[month_added].[All]" dimensionUniqueName="[Main]" displayFolder="" count="0" memberValueDatatype="20" unbalanced="0"/>
    <cacheHierarchy uniqueName="[Main].[day_name_added]" caption="day_name_added" attribute="1" defaultMemberUniqueName="[Main].[day_name_added].[All]" allUniqueName="[Main].[day_name_added].[All]" dimensionUniqueName="[Main]" displayFolder="" count="0" memberValueDatatype="130" unbalanced="0"/>
    <cacheHierarchy uniqueName="[Main].[duration_num]" caption="duration_num" attribute="1" defaultMemberUniqueName="[Main].[duration_num].[All]" allUniqueName="[Main].[duration_num].[All]" dimensionUniqueName="[Main]" displayFolder="" count="0" memberValueDatatype="20" unbalanced="0"/>
    <cacheHierarchy uniqueName="[Main].[duration_unit]" caption="duration_unit" attribute="1" defaultMemberUniqueName="[Main].[duration_unit].[All]" allUniqueName="[Main].[duration_unit].[All]" dimensionUniqueName="[Main]" displayFolder="" count="0" memberValueDatatype="130" unbalanced="0"/>
    <cacheHierarchy uniqueName="[Main].[primary_genre]" caption="primary_genre" attribute="1" defaultMemberUniqueName="[Main].[primary_genre].[All]" allUniqueName="[Main].[primary_genre].[All]" dimensionUniqueName="[Main]" displayFolder="" count="0" memberValueDatatype="130" unbalanced="0"/>
    <cacheHierarchy uniqueName="[Main].[content_age]" caption="content_age" attribute="1" defaultMemberUniqueName="[Main].[content_age].[All]" allUniqueName="[Main].[content_age].[All]" dimensionUniqueName="[Main]" displayFolder="" count="0" memberValueDatatype="20" unbalanced="0"/>
    <cacheHierarchy uniqueName="[Measures].[Unique_Directors]" caption="Unique_Directors" measure="1" displayFolder="" measureGroup="Director_Unpacked" count="0"/>
    <cacheHierarchy uniqueName="[Measures].[Unique_Countries]" caption="Unique_Countries" measure="1" displayFolder="" measureGroup="Main" count="0"/>
    <cacheHierarchy uniqueName="[Measures].[US_Production_Pct]" caption="US_Production_Pct" measure="1" displayFolder="" measureGroup="Main" count="0"/>
    <cacheHierarchy uniqueName="[Measures].[Unknown_Country_Pct]" caption="Unknown_Country_Pct" measure="1" displayFolder="" measureGroup="Main" count="0"/>
    <cacheHierarchy uniqueName="[Measures].[Avg_Titles_Per_Director]" caption="Avg_Titles_Per_Director" measure="1" displayFolder="" measureGroup="Director_Unpacked" count="0"/>
    <cacheHierarchy uniqueName="[Measures].[__XL_Count Director_Unpacked]" caption="__XL_Count Director_Unpacked" measure="1" displayFolder="" measureGroup="Director_Unpacked" count="0" hidden="1"/>
    <cacheHierarchy uniqueName="[Measures].[__XL_Count Main]" caption="__XL_Count Main" measure="1" displayFolder="" measureGroup="Main" count="0" hidden="1"/>
    <cacheHierarchy uniqueName="[Measures].[__XL_Count Cast_Unpacked]" caption="__XL_Count Cast_Unpacked" measure="1" displayFolder="" measureGroup="Cast_Unpacked" count="0" hidden="1"/>
    <cacheHierarchy uniqueName="[Measures].[__No measures defined]" caption="__No measures defined" measure="1" displayFolder="" count="0" hidden="1"/>
    <cacheHierarchy uniqueName="[Measures].[Count of show_id]" caption="Count of show_id" measure="1" displayFolder="" measureGroup="Main" count="0" hidden="1">
      <extLst>
        <ext xmlns:x15="http://schemas.microsoft.com/office/spreadsheetml/2010/11/main" uri="{B97F6D7D-B522-45F9-BDA1-12C45D357490}">
          <x15:cacheHierarchy aggregatedColumn="4"/>
        </ext>
      </extLst>
    </cacheHierarchy>
    <cacheHierarchy uniqueName="[Measures].[Count of show_id 2]" caption="Count of show_id 2" measure="1" displayFolder="" measureGroup="Director_Unpacked" count="0" oneField="1" hidden="1">
      <fieldsUsage count="1">
        <fieldUsage x="1"/>
      </fieldsUsage>
      <extLst>
        <ext xmlns:x15="http://schemas.microsoft.com/office/spreadsheetml/2010/11/main" uri="{B97F6D7D-B522-45F9-BDA1-12C45D357490}">
          <x15:cacheHierarchy aggregatedColumn="2"/>
        </ext>
      </extLst>
    </cacheHierarchy>
    <cacheHierarchy uniqueName="[Measures].[Count of show_id 3]" caption="Count of show_id 3" measure="1" displayFolder="" measureGroup="Cast_Unpacked" count="0" hidden="1">
      <extLst>
        <ext xmlns:x15="http://schemas.microsoft.com/office/spreadsheetml/2010/11/main" uri="{B97F6D7D-B522-45F9-BDA1-12C45D357490}">
          <x15:cacheHierarchy aggregatedColumn="0"/>
        </ext>
      </extLst>
    </cacheHierarchy>
    <cacheHierarchy uniqueName="[Measures].[Count of title]" caption="Count of title" measure="1" displayFolder="" measureGroup="Main" count="0" hidden="1">
      <extLst>
        <ext xmlns:x15="http://schemas.microsoft.com/office/spreadsheetml/2010/11/main" uri="{B97F6D7D-B522-45F9-BDA1-12C45D357490}">
          <x15:cacheHierarchy aggregatedColumn="6"/>
        </ext>
      </extLst>
    </cacheHierarchy>
  </cacheHierarchies>
  <kpis count="0"/>
  <dimensions count="4">
    <dimension name="Cast_Unpacked" uniqueName="[Cast_Unpacked]" caption="Cast_Unpacked"/>
    <dimension name="Director_Unpacked" uniqueName="[Director_Unpacked]" caption="Director_Unpacked"/>
    <dimension name="Main" uniqueName="[Main]" caption="Main"/>
    <dimension measure="1" name="Measures" uniqueName="[Measures]" caption="Measures"/>
  </dimensions>
  <measureGroups count="3">
    <measureGroup name="Cast_Unpacked" caption="Cast_Unpacked"/>
    <measureGroup name="Director_Unpacked" caption="Director_Unpacked"/>
    <measureGroup name="Main" caption="Main"/>
  </measureGroups>
  <maps count="5">
    <map measureGroup="0" dimension="0"/>
    <map measureGroup="0" dimension="2"/>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ad" refreshedDate="46283.154344675924" backgroundQuery="1" createdVersion="8" refreshedVersion="8" minRefreshableVersion="3" recordCount="0" supportSubquery="1" supportAdvancedDrill="1" xr:uid="{EA3E92BD-E750-401A-802B-2C964556E394}">
  <cacheSource type="external" connectionId="4"/>
  <cacheFields count="2">
    <cacheField name="[Director_Unpacked].[director].[director]" caption="director" numFmtId="0" hierarchy="3" level="1">
      <sharedItems count="1">
        <s v=" Art Stevens"/>
      </sharedItems>
    </cacheField>
    <cacheField name="[Measures].[Count of show_id 2]" caption="Count of show_id 2" numFmtId="0" hierarchy="33" level="32767"/>
  </cacheFields>
  <cacheHierarchies count="36">
    <cacheHierarchy uniqueName="[Cast_Unpacked].[show_id]" caption="show_id" attribute="1" defaultMemberUniqueName="[Cast_Unpacked].[show_id].[All]" allUniqueName="[Cast_Unpacked].[show_id].[All]" dimensionUniqueName="[Cast_Unpacked]" displayFolder="" count="0" memberValueDatatype="130" unbalanced="0"/>
    <cacheHierarchy uniqueName="[Cast_Unpacked].[cast]" caption="cast" attribute="1" defaultMemberUniqueName="[Cast_Unpacked].[cast].[All]" allUniqueName="[Cast_Unpacked].[cast].[All]" dimensionUniqueName="[Cast_Unpacked]" displayFolder="" count="0" memberValueDatatype="130" unbalanced="0"/>
    <cacheHierarchy uniqueName="[Director_Unpacked].[show_id]" caption="show_id" attribute="1" defaultMemberUniqueName="[Director_Unpacked].[show_id].[All]" allUniqueName="[Director_Unpacked].[show_id].[All]" dimensionUniqueName="[Director_Unpacked]" displayFolder="" count="0" memberValueDatatype="130" unbalanced="0"/>
    <cacheHierarchy uniqueName="[Director_Unpacked].[director]" caption="director" attribute="1" defaultMemberUniqueName="[Director_Unpacked].[director].[All]" allUniqueName="[Director_Unpacked].[director].[All]" dimensionUniqueName="[Director_Unpacked]" displayFolder="" count="2" memberValueDatatype="130" unbalanced="0">
      <fieldsUsage count="2">
        <fieldUsage x="-1"/>
        <fieldUsage x="0"/>
      </fieldsUsage>
    </cacheHierarchy>
    <cacheHierarchy uniqueName="[Main].[show_id]" caption="show_id" attribute="1" defaultMemberUniqueName="[Main].[show_id].[All]" allUniqueName="[Main].[show_id].[All]" dimensionUniqueName="[Main]" displayFolder="" count="0" memberValueDatatype="130" unbalanced="0"/>
    <cacheHierarchy uniqueName="[Main].[type]" caption="type" attribute="1" defaultMemberUniqueName="[Main].[type].[All]" allUniqueName="[Main].[type].[All]" dimensionUniqueName="[Main]" displayFolder="" count="0" memberValueDatatype="130" unbalanced="0"/>
    <cacheHierarchy uniqueName="[Main].[title]" caption="title" attribute="1" defaultMemberUniqueName="[Main].[title].[All]" allUniqueName="[Main].[title].[All]" dimensionUniqueName="[Main]" displayFolder="" count="0" memberValueDatatype="130" unbalanced="0"/>
    <cacheHierarchy uniqueName="[Main].[director]" caption="director" attribute="1" defaultMemberUniqueName="[Main].[director].[All]" allUniqueName="[Main].[director].[All]" dimensionUniqueName="[Main]" displayFolder="" count="0" memberValueDatatype="130" unbalanced="0"/>
    <cacheHierarchy uniqueName="[Main].[cast]" caption="cast" attribute="1" defaultMemberUniqueName="[Main].[cast].[All]" allUniqueName="[Main].[cast].[All]" dimensionUniqueName="[Main]" displayFolder="" count="0" memberValueDatatype="130" unbalanced="0"/>
    <cacheHierarchy uniqueName="[Main].[country]" caption="country" attribute="1" defaultMemberUniqueName="[Main].[country].[All]" allUniqueName="[Main].[country].[All]" dimensionUniqueName="[Main]" displayFolder="" count="0" memberValueDatatype="130" unbalanced="0"/>
    <cacheHierarchy uniqueName="[Main].[date_added]" caption="date_added" attribute="1" time="1" defaultMemberUniqueName="[Main].[date_added].[All]" allUniqueName="[Main].[date_added].[All]" dimensionUniqueName="[Main]" displayFolder="" count="0" memberValueDatatype="7" unbalanced="0"/>
    <cacheHierarchy uniqueName="[Main].[release_year]" caption="release_year" attribute="1" defaultMemberUniqueName="[Main].[release_year].[All]" allUniqueName="[Main].[release_year].[All]" dimensionUniqueName="[Main]" displayFolder="" count="0" memberValueDatatype="20" unbalanced="0"/>
    <cacheHierarchy uniqueName="[Main].[rating]" caption="rating" attribute="1" defaultMemberUniqueName="[Main].[rating].[All]" allUniqueName="[Main].[rating].[All]" dimensionUniqueName="[Main]" displayFolder="" count="0" memberValueDatatype="130" unbalanced="0"/>
    <cacheHierarchy uniqueName="[Main].[duration]" caption="duration" attribute="1" defaultMemberUniqueName="[Main].[duration].[All]" allUniqueName="[Main].[duration].[All]" dimensionUniqueName="[Main]" displayFolder="" count="0" memberValueDatatype="130" unbalanced="0"/>
    <cacheHierarchy uniqueName="[Main].[listed_in]" caption="listed_in" attribute="1" defaultMemberUniqueName="[Main].[listed_in].[All]" allUniqueName="[Main].[listed_in].[All]" dimensionUniqueName="[Main]" displayFolder="" count="0" memberValueDatatype="130" unbalanced="0"/>
    <cacheHierarchy uniqueName="[Main].[description]" caption="description" attribute="1" defaultMemberUniqueName="[Main].[description].[All]" allUniqueName="[Main].[description].[All]" dimensionUniqueName="[Main]" displayFolder="" count="0" memberValueDatatype="130" unbalanced="0"/>
    <cacheHierarchy uniqueName="[Main].[year_added]" caption="year_added" attribute="1" defaultMemberUniqueName="[Main].[year_added].[All]" allUniqueName="[Main].[year_added].[All]" dimensionUniqueName="[Main]" displayFolder="" count="0" memberValueDatatype="20" unbalanced="0"/>
    <cacheHierarchy uniqueName="[Main].[month_added]" caption="month_added" attribute="1" defaultMemberUniqueName="[Main].[month_added].[All]" allUniqueName="[Main].[month_added].[All]" dimensionUniqueName="[Main]" displayFolder="" count="0" memberValueDatatype="20" unbalanced="0"/>
    <cacheHierarchy uniqueName="[Main].[day_name_added]" caption="day_name_added" attribute="1" defaultMemberUniqueName="[Main].[day_name_added].[All]" allUniqueName="[Main].[day_name_added].[All]" dimensionUniqueName="[Main]" displayFolder="" count="0" memberValueDatatype="130" unbalanced="0"/>
    <cacheHierarchy uniqueName="[Main].[duration_num]" caption="duration_num" attribute="1" defaultMemberUniqueName="[Main].[duration_num].[All]" allUniqueName="[Main].[duration_num].[All]" dimensionUniqueName="[Main]" displayFolder="" count="0" memberValueDatatype="20" unbalanced="0"/>
    <cacheHierarchy uniqueName="[Main].[duration_unit]" caption="duration_unit" attribute="1" defaultMemberUniqueName="[Main].[duration_unit].[All]" allUniqueName="[Main].[duration_unit].[All]" dimensionUniqueName="[Main]" displayFolder="" count="0" memberValueDatatype="130" unbalanced="0"/>
    <cacheHierarchy uniqueName="[Main].[primary_genre]" caption="primary_genre" attribute="1" defaultMemberUniqueName="[Main].[primary_genre].[All]" allUniqueName="[Main].[primary_genre].[All]" dimensionUniqueName="[Main]" displayFolder="" count="0" memberValueDatatype="130" unbalanced="0"/>
    <cacheHierarchy uniqueName="[Main].[content_age]" caption="content_age" attribute="1" defaultMemberUniqueName="[Main].[content_age].[All]" allUniqueName="[Main].[content_age].[All]" dimensionUniqueName="[Main]" displayFolder="" count="0" memberValueDatatype="20" unbalanced="0"/>
    <cacheHierarchy uniqueName="[Measures].[Unique_Directors]" caption="Unique_Directors" measure="1" displayFolder="" measureGroup="Director_Unpacked" count="0"/>
    <cacheHierarchy uniqueName="[Measures].[Unique_Countries]" caption="Unique_Countries" measure="1" displayFolder="" measureGroup="Main" count="0"/>
    <cacheHierarchy uniqueName="[Measures].[US_Production_Pct]" caption="US_Production_Pct" measure="1" displayFolder="" measureGroup="Main" count="0"/>
    <cacheHierarchy uniqueName="[Measures].[Unknown_Country_Pct]" caption="Unknown_Country_Pct" measure="1" displayFolder="" measureGroup="Main" count="0"/>
    <cacheHierarchy uniqueName="[Measures].[Avg_Titles_Per_Director]" caption="Avg_Titles_Per_Director" measure="1" displayFolder="" measureGroup="Director_Unpacked" count="0"/>
    <cacheHierarchy uniqueName="[Measures].[__XL_Count Director_Unpacked]" caption="__XL_Count Director_Unpacked" measure="1" displayFolder="" measureGroup="Director_Unpacked" count="0" hidden="1"/>
    <cacheHierarchy uniqueName="[Measures].[__XL_Count Main]" caption="__XL_Count Main" measure="1" displayFolder="" measureGroup="Main" count="0" hidden="1"/>
    <cacheHierarchy uniqueName="[Measures].[__XL_Count Cast_Unpacked]" caption="__XL_Count Cast_Unpacked" measure="1" displayFolder="" measureGroup="Cast_Unpacked" count="0" hidden="1"/>
    <cacheHierarchy uniqueName="[Measures].[__No measures defined]" caption="__No measures defined" measure="1" displayFolder="" count="0" hidden="1"/>
    <cacheHierarchy uniqueName="[Measures].[Count of show_id]" caption="Count of show_id" measure="1" displayFolder="" measureGroup="Main" count="0" hidden="1">
      <extLst>
        <ext xmlns:x15="http://schemas.microsoft.com/office/spreadsheetml/2010/11/main" uri="{B97F6D7D-B522-45F9-BDA1-12C45D357490}">
          <x15:cacheHierarchy aggregatedColumn="4"/>
        </ext>
      </extLst>
    </cacheHierarchy>
    <cacheHierarchy uniqueName="[Measures].[Count of show_id 2]" caption="Count of show_id 2" measure="1" displayFolder="" measureGroup="Director_Unpacked" count="0" oneField="1" hidden="1">
      <fieldsUsage count="1">
        <fieldUsage x="1"/>
      </fieldsUsage>
      <extLst>
        <ext xmlns:x15="http://schemas.microsoft.com/office/spreadsheetml/2010/11/main" uri="{B97F6D7D-B522-45F9-BDA1-12C45D357490}">
          <x15:cacheHierarchy aggregatedColumn="2"/>
        </ext>
      </extLst>
    </cacheHierarchy>
    <cacheHierarchy uniqueName="[Measures].[Count of show_id 3]" caption="Count of show_id 3" measure="1" displayFolder="" measureGroup="Cast_Unpacked" count="0" hidden="1">
      <extLst>
        <ext xmlns:x15="http://schemas.microsoft.com/office/spreadsheetml/2010/11/main" uri="{B97F6D7D-B522-45F9-BDA1-12C45D357490}">
          <x15:cacheHierarchy aggregatedColumn="0"/>
        </ext>
      </extLst>
    </cacheHierarchy>
    <cacheHierarchy uniqueName="[Measures].[Count of title]" caption="Count of title" measure="1" displayFolder="" measureGroup="Main" count="0" hidden="1">
      <extLst>
        <ext xmlns:x15="http://schemas.microsoft.com/office/spreadsheetml/2010/11/main" uri="{B97F6D7D-B522-45F9-BDA1-12C45D357490}">
          <x15:cacheHierarchy aggregatedColumn="6"/>
        </ext>
      </extLst>
    </cacheHierarchy>
  </cacheHierarchies>
  <kpis count="0"/>
  <dimensions count="4">
    <dimension name="Cast_Unpacked" uniqueName="[Cast_Unpacked]" caption="Cast_Unpacked"/>
    <dimension name="Director_Unpacked" uniqueName="[Director_Unpacked]" caption="Director_Unpacked"/>
    <dimension name="Main" uniqueName="[Main]" caption="Main"/>
    <dimension measure="1" name="Measures" uniqueName="[Measures]" caption="Measures"/>
  </dimensions>
  <measureGroups count="3">
    <measureGroup name="Cast_Unpacked" caption="Cast_Unpacked"/>
    <measureGroup name="Director_Unpacked" caption="Director_Unpacked"/>
    <measureGroup name="Main" caption="Main"/>
  </measureGroups>
  <maps count="5">
    <map measureGroup="0" dimension="0"/>
    <map measureGroup="0" dimension="2"/>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ad" refreshedDate="46283.132601736113" backgroundQuery="1" createdVersion="3" refreshedVersion="8" minRefreshableVersion="3" recordCount="0" supportSubquery="1" supportAdvancedDrill="1" xr:uid="{E4907F2D-A7BE-4E62-B1A1-8BA46D346A30}">
  <cacheSource type="external" connectionId="4">
    <extLst>
      <ext xmlns:x14="http://schemas.microsoft.com/office/spreadsheetml/2009/9/main" uri="{F057638F-6D5F-4e77-A914-E7F072B9BCA8}">
        <x14:sourceConnection name="ThisWorkbookDataModel"/>
      </ext>
    </extLst>
  </cacheSource>
  <cacheFields count="0"/>
  <cacheHierarchies count="36">
    <cacheHierarchy uniqueName="[Cast_Unpacked].[show_id]" caption="show_id" attribute="1" defaultMemberUniqueName="[Cast_Unpacked].[show_id].[All]" allUniqueName="[Cast_Unpacked].[show_id].[All]" dimensionUniqueName="[Cast_Unpacked]" displayFolder="" count="0" memberValueDatatype="130" unbalanced="0"/>
    <cacheHierarchy uniqueName="[Cast_Unpacked].[cast]" caption="cast" attribute="1" defaultMemberUniqueName="[Cast_Unpacked].[cast].[All]" allUniqueName="[Cast_Unpacked].[cast].[All]" dimensionUniqueName="[Cast_Unpacked]" displayFolder="" count="0" memberValueDatatype="130" unbalanced="0"/>
    <cacheHierarchy uniqueName="[Director_Unpacked].[show_id]" caption="show_id" attribute="1" defaultMemberUniqueName="[Director_Unpacked].[show_id].[All]" allUniqueName="[Director_Unpacked].[show_id].[All]" dimensionUniqueName="[Director_Unpacked]" displayFolder="" count="0" memberValueDatatype="130" unbalanced="0"/>
    <cacheHierarchy uniqueName="[Director_Unpacked].[director]" caption="director" attribute="1" defaultMemberUniqueName="[Director_Unpacked].[director].[All]" allUniqueName="[Director_Unpacked].[director].[All]" dimensionUniqueName="[Director_Unpacked]" displayFolder="" count="2" memberValueDatatype="130" unbalanced="0"/>
    <cacheHierarchy uniqueName="[Main].[show_id]" caption="show_id" attribute="1" defaultMemberUniqueName="[Main].[show_id].[All]" allUniqueName="[Main].[show_id].[All]" dimensionUniqueName="[Main]" displayFolder="" count="0" memberValueDatatype="130" unbalanced="0"/>
    <cacheHierarchy uniqueName="[Main].[type]" caption="type" attribute="1" defaultMemberUniqueName="[Main].[type].[All]" allUniqueName="[Main].[type].[All]" dimensionUniqueName="[Main]" displayFolder="" count="0" memberValueDatatype="130" unbalanced="0"/>
    <cacheHierarchy uniqueName="[Main].[title]" caption="title" attribute="1" defaultMemberUniqueName="[Main].[title].[All]" allUniqueName="[Main].[title].[All]" dimensionUniqueName="[Main]" displayFolder="" count="0" memberValueDatatype="130" unbalanced="0"/>
    <cacheHierarchy uniqueName="[Main].[director]" caption="director" attribute="1" defaultMemberUniqueName="[Main].[director].[All]" allUniqueName="[Main].[director].[All]" dimensionUniqueName="[Main]" displayFolder="" count="0" memberValueDatatype="130" unbalanced="0"/>
    <cacheHierarchy uniqueName="[Main].[cast]" caption="cast" attribute="1" defaultMemberUniqueName="[Main].[cast].[All]" allUniqueName="[Main].[cast].[All]" dimensionUniqueName="[Main]" displayFolder="" count="0" memberValueDatatype="130" unbalanced="0"/>
    <cacheHierarchy uniqueName="[Main].[country]" caption="country" attribute="1" defaultMemberUniqueName="[Main].[country].[All]" allUniqueName="[Main].[country].[All]" dimensionUniqueName="[Main]" displayFolder="" count="0" memberValueDatatype="130" unbalanced="0"/>
    <cacheHierarchy uniqueName="[Main].[date_added]" caption="date_added" attribute="1" time="1" defaultMemberUniqueName="[Main].[date_added].[All]" allUniqueName="[Main].[date_added].[All]" dimensionUniqueName="[Main]" displayFolder="" count="0" memberValueDatatype="7" unbalanced="0"/>
    <cacheHierarchy uniqueName="[Main].[release_year]" caption="release_year" attribute="1" defaultMemberUniqueName="[Main].[release_year].[All]" allUniqueName="[Main].[release_year].[All]" dimensionUniqueName="[Main]" displayFolder="" count="0" memberValueDatatype="20" unbalanced="0"/>
    <cacheHierarchy uniqueName="[Main].[rating]" caption="rating" attribute="1" defaultMemberUniqueName="[Main].[rating].[All]" allUniqueName="[Main].[rating].[All]" dimensionUniqueName="[Main]" displayFolder="" count="0" memberValueDatatype="130" unbalanced="0"/>
    <cacheHierarchy uniqueName="[Main].[duration]" caption="duration" attribute="1" defaultMemberUniqueName="[Main].[duration].[All]" allUniqueName="[Main].[duration].[All]" dimensionUniqueName="[Main]" displayFolder="" count="0" memberValueDatatype="130" unbalanced="0"/>
    <cacheHierarchy uniqueName="[Main].[listed_in]" caption="listed_in" attribute="1" defaultMemberUniqueName="[Main].[listed_in].[All]" allUniqueName="[Main].[listed_in].[All]" dimensionUniqueName="[Main]" displayFolder="" count="0" memberValueDatatype="130" unbalanced="0"/>
    <cacheHierarchy uniqueName="[Main].[description]" caption="description" attribute="1" defaultMemberUniqueName="[Main].[description].[All]" allUniqueName="[Main].[description].[All]" dimensionUniqueName="[Main]" displayFolder="" count="0" memberValueDatatype="130" unbalanced="0"/>
    <cacheHierarchy uniqueName="[Main].[year_added]" caption="year_added" attribute="1" defaultMemberUniqueName="[Main].[year_added].[All]" allUniqueName="[Main].[year_added].[All]" dimensionUniqueName="[Main]" displayFolder="" count="0" memberValueDatatype="20" unbalanced="0"/>
    <cacheHierarchy uniqueName="[Main].[month_added]" caption="month_added" attribute="1" defaultMemberUniqueName="[Main].[month_added].[All]" allUniqueName="[Main].[month_added].[All]" dimensionUniqueName="[Main]" displayFolder="" count="0" memberValueDatatype="20" unbalanced="0"/>
    <cacheHierarchy uniqueName="[Main].[day_name_added]" caption="day_name_added" attribute="1" defaultMemberUniqueName="[Main].[day_name_added].[All]" allUniqueName="[Main].[day_name_added].[All]" dimensionUniqueName="[Main]" displayFolder="" count="0" memberValueDatatype="130" unbalanced="0"/>
    <cacheHierarchy uniqueName="[Main].[duration_num]" caption="duration_num" attribute="1" defaultMemberUniqueName="[Main].[duration_num].[All]" allUniqueName="[Main].[duration_num].[All]" dimensionUniqueName="[Main]" displayFolder="" count="0" memberValueDatatype="20" unbalanced="0"/>
    <cacheHierarchy uniqueName="[Main].[duration_unit]" caption="duration_unit" attribute="1" defaultMemberUniqueName="[Main].[duration_unit].[All]" allUniqueName="[Main].[duration_unit].[All]" dimensionUniqueName="[Main]" displayFolder="" count="0" memberValueDatatype="130" unbalanced="0"/>
    <cacheHierarchy uniqueName="[Main].[primary_genre]" caption="primary_genre" attribute="1" defaultMemberUniqueName="[Main].[primary_genre].[All]" allUniqueName="[Main].[primary_genre].[All]" dimensionUniqueName="[Main]" displayFolder="" count="0" memberValueDatatype="130" unbalanced="0"/>
    <cacheHierarchy uniqueName="[Main].[content_age]" caption="content_age" attribute="1" defaultMemberUniqueName="[Main].[content_age].[All]" allUniqueName="[Main].[content_age].[All]" dimensionUniqueName="[Main]" displayFolder="" count="0" memberValueDatatype="20" unbalanced="0"/>
    <cacheHierarchy uniqueName="[Measures].[Unique_Directors]" caption="Unique_Directors" measure="1" displayFolder="" measureGroup="Director_Unpacked" count="0"/>
    <cacheHierarchy uniqueName="[Measures].[Unique_Countries]" caption="Unique_Countries" measure="1" displayFolder="" measureGroup="Main" count="0"/>
    <cacheHierarchy uniqueName="[Measures].[US_Production_Pct]" caption="US_Production_Pct" measure="1" displayFolder="" measureGroup="Main" count="0"/>
    <cacheHierarchy uniqueName="[Measures].[Unknown_Country_Pct]" caption="Unknown_Country_Pct" measure="1" displayFolder="" measureGroup="Main" count="0"/>
    <cacheHierarchy uniqueName="[Measures].[Avg_Titles_Per_Director]" caption="Avg_Titles_Per_Director" measure="1" displayFolder="" measureGroup="Director_Unpacked" count="0"/>
    <cacheHierarchy uniqueName="[Measures].[__XL_Count Director_Unpacked]" caption="__XL_Count Director_Unpacked" measure="1" displayFolder="" measureGroup="Director_Unpacked" count="0" hidden="1"/>
    <cacheHierarchy uniqueName="[Measures].[__XL_Count Main]" caption="__XL_Count Main" measure="1" displayFolder="" measureGroup="Main" count="0" hidden="1"/>
    <cacheHierarchy uniqueName="[Measures].[__XL_Count Cast_Unpacked]" caption="__XL_Count Cast_Unpacked" measure="1" displayFolder="" measureGroup="Cast_Unpacked" count="0" hidden="1"/>
    <cacheHierarchy uniqueName="[Measures].[__No measures defined]" caption="__No measures defined" measure="1" displayFolder="" count="0" hidden="1"/>
    <cacheHierarchy uniqueName="[Measures].[Count of show_id]" caption="Count of show_id" measure="1" displayFolder="" measureGroup="Main" count="0" hidden="1">
      <extLst>
        <ext xmlns:x15="http://schemas.microsoft.com/office/spreadsheetml/2010/11/main" uri="{B97F6D7D-B522-45F9-BDA1-12C45D357490}">
          <x15:cacheHierarchy aggregatedColumn="4"/>
        </ext>
      </extLst>
    </cacheHierarchy>
    <cacheHierarchy uniqueName="[Measures].[Count of show_id 2]" caption="Count of show_id 2" measure="1" displayFolder="" measureGroup="Director_Unpacked" count="0" hidden="1">
      <extLst>
        <ext xmlns:x15="http://schemas.microsoft.com/office/spreadsheetml/2010/11/main" uri="{B97F6D7D-B522-45F9-BDA1-12C45D357490}">
          <x15:cacheHierarchy aggregatedColumn="2"/>
        </ext>
      </extLst>
    </cacheHierarchy>
    <cacheHierarchy uniqueName="[Measures].[Count of show_id 3]" caption="Count of show_id 3" measure="1" displayFolder="" measureGroup="Cast_Unpacked" count="0" hidden="1">
      <extLst>
        <ext xmlns:x15="http://schemas.microsoft.com/office/spreadsheetml/2010/11/main" uri="{B97F6D7D-B522-45F9-BDA1-12C45D357490}">
          <x15:cacheHierarchy aggregatedColumn="0"/>
        </ext>
      </extLst>
    </cacheHierarchy>
    <cacheHierarchy uniqueName="[Measures].[Count of title]" caption="Count of title" measure="1" displayFolder="" measureGroup="Main"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slicerData="1" pivotCacheId="209470534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659A3F-3E98-4ACA-BD79-58568FBF18F8}" name="PT1_Countries" cacheId="3" applyNumberFormats="0" applyBorderFormats="0" applyFontFormats="0" applyPatternFormats="0" applyAlignmentFormats="0" applyWidthHeightFormats="1" dataCaption="Values" tag="a52517a9-b174-46cb-9319-0997bbeb28ec" updatedVersion="8" minRefreshableVersion="3" useAutoFormatting="1" subtotalHiddenItems="1" itemPrintTitles="1" createdVersion="8" indent="0" outline="1" outlineData="1" multipleFieldFilters="0" chartFormat="35">
  <location ref="A3:B14"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4"/>
    </i>
    <i>
      <x v="9"/>
    </i>
    <i>
      <x v="6"/>
    </i>
    <i>
      <x v="2"/>
    </i>
    <i>
      <x v="8"/>
    </i>
    <i>
      <x v="1"/>
    </i>
    <i>
      <x v="3"/>
    </i>
    <i>
      <x v="5"/>
    </i>
    <i>
      <x/>
    </i>
    <i>
      <x v="7"/>
    </i>
    <i t="grand">
      <x/>
    </i>
  </rowItems>
  <colItems count="1">
    <i/>
  </colItems>
  <dataFields count="1">
    <dataField name="Count of show_id" fld="1" subtotal="count" baseField="0" baseItem="0"/>
  </dataFields>
  <chartFormats count="2">
    <chartFormat chart="2" format="1" series="1">
      <pivotArea type="data" outline="0" fieldPosition="0">
        <references count="1">
          <reference field="4294967294" count="1" selected="0">
            <x v="0"/>
          </reference>
        </references>
      </pivotArea>
    </chartFormat>
    <chartFormat chart="30" format="4"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2">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257766-A0EA-421E-8A56-BDF867E6BF9D}" name="PT6_DirectorCollab" cacheId="23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04:B106" firstHeaderRow="1" firstDataRow="1" firstDataCol="1"/>
  <pivotFields count="2">
    <pivotField axis="axisRow" allDrilled="1" subtotalTop="0" showAll="0" sortType="ascending" defaultSubtotal="0" defaultAttributeDrillState="1">
      <items count="1">
        <item s="1" x="0"/>
      </items>
    </pivotField>
    <pivotField dataField="1" subtotalTop="0" showAll="0" defaultSubtotal="0"/>
  </pivotFields>
  <rowFields count="1">
    <field x="0"/>
  </rowFields>
  <rowItems count="2">
    <i>
      <x/>
    </i>
    <i t="grand">
      <x/>
    </i>
  </rowItems>
  <colItems count="1">
    <i/>
  </colItems>
  <dataFields count="1">
    <dataField name="Count of show_id" fld="1" subtotal="count" baseField="0" baseItem="0"/>
  </dataFields>
  <pivotHierarchies count="3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Director_Unpacked]"/>
        <x15:activeTabTopLevelEntity name="[M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172DC5-B834-4B5A-9052-8C0C0D37E9A7}" name="PT4_Cast"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5">
  <location ref="A59:B75" firstHeaderRow="1" firstDataRow="1" firstDataCol="1"/>
  <pivotFields count="2">
    <pivotField dataField="1" subtotalTop="0" showAll="0" defaultSubtotal="0"/>
    <pivotField axis="axisRow" allDrilled="1" subtotalTop="0" showAll="0" measureFilter="1"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s>
  <rowFields count="1">
    <field x="1"/>
  </rowFields>
  <rowItems count="16">
    <i>
      <x v="13"/>
    </i>
    <i>
      <x v="5"/>
    </i>
    <i>
      <x v="14"/>
    </i>
    <i>
      <x v="3"/>
    </i>
    <i>
      <x v="8"/>
    </i>
    <i>
      <x v="1"/>
    </i>
    <i>
      <x v="4"/>
    </i>
    <i>
      <x v="6"/>
    </i>
    <i>
      <x v="10"/>
    </i>
    <i>
      <x v="11"/>
    </i>
    <i>
      <x v="2"/>
    </i>
    <i>
      <x v="7"/>
    </i>
    <i>
      <x v="12"/>
    </i>
    <i>
      <x v="9"/>
    </i>
    <i>
      <x/>
    </i>
    <i t="grand">
      <x/>
    </i>
  </rowItems>
  <colItems count="1">
    <i/>
  </colItems>
  <dataFields count="1">
    <dataField name="Count of show_id" fld="0" subtotal="count" baseField="0" baseItem="0"/>
  </dataFields>
  <chartFormats count="2">
    <chartFormat chart="1" format="0" series="1">
      <pivotArea type="data" outline="0" fieldPosition="0">
        <references count="1">
          <reference field="4294967294" count="1" selected="0">
            <x v="0"/>
          </reference>
        </references>
      </pivotArea>
    </chartFormat>
    <chartFormat chart="22" format="3"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34">
      <autoFilter ref="A1">
        <filterColumn colId="0">
          <top10 val="15" filterVal="1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st_Unpack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6579759-5594-4010-9FFC-568BED6E0596}" name="PT5_CountryGenre" cacheId="9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6">
  <location ref="A83:G95" firstHeaderRow="1" firstDataRow="2" firstDataCol="1"/>
  <pivotFields count="3">
    <pivotField axis="axisRow" allDrilled="1" subtotalTop="0" showAll="0" measureFilter="1" defaultSubtotal="0" defaultAttributeDrillState="1">
      <items count="90">
        <item x="11"/>
        <item x="12"/>
        <item x="13"/>
        <item x="14"/>
        <item x="15"/>
        <item x="16"/>
        <item x="10"/>
        <item x="17"/>
        <item x="0"/>
        <item x="18"/>
        <item x="19"/>
        <item x="20"/>
        <item x="21"/>
        <item x="22"/>
        <item x="23"/>
        <item x="24"/>
        <item x="25"/>
        <item x="26"/>
        <item x="27"/>
        <item x="28"/>
        <item x="29"/>
        <item x="30"/>
        <item x="31"/>
        <item x="32"/>
        <item x="33"/>
        <item x="34"/>
        <item x="35"/>
        <item x="36"/>
        <item x="37"/>
        <item x="38"/>
        <item x="39"/>
        <item x="40"/>
        <item x="41"/>
        <item x="1"/>
        <item x="42"/>
        <item x="2"/>
        <item x="43"/>
        <item x="44"/>
        <item x="45"/>
        <item x="46"/>
        <item x="3"/>
        <item x="47"/>
        <item x="48"/>
        <item x="49"/>
        <item x="50"/>
        <item x="4"/>
        <item x="51"/>
        <item x="5"/>
        <item x="52"/>
        <item x="53"/>
        <item x="6"/>
        <item x="54"/>
        <item x="55"/>
        <item x="56"/>
        <item x="57"/>
        <item x="58"/>
        <item x="59"/>
        <item x="7"/>
        <item x="60"/>
        <item x="61"/>
        <item x="62"/>
        <item x="63"/>
        <item x="64"/>
        <item x="65"/>
        <item x="66"/>
        <item x="67"/>
        <item x="68"/>
        <item x="69"/>
        <item x="70"/>
        <item x="71"/>
        <item x="72"/>
        <item x="73"/>
        <item x="74"/>
        <item x="75"/>
        <item x="76"/>
        <item x="77"/>
        <item x="78"/>
        <item x="79"/>
        <item x="80"/>
        <item x="81"/>
        <item x="82"/>
        <item x="8"/>
        <item x="83"/>
        <item x="84"/>
        <item x="85"/>
        <item x="86"/>
        <item x="87"/>
        <item x="88"/>
        <item x="89"/>
        <item x="9"/>
      </items>
    </pivotField>
    <pivotField axis="axisCol" allDrilled="1" subtotalTop="0" showAll="0" defaultSubtotal="0" defaultAttributeDrillState="1">
      <items count="29">
        <item s="1" x="0"/>
        <item s="1" x="1"/>
        <item s="1" x="2"/>
        <item x="5"/>
        <item x="6"/>
        <item x="7"/>
        <item s="1" x="3"/>
        <item x="8"/>
        <item x="9"/>
        <item x="10"/>
        <item x="11"/>
        <item s="1" x="4"/>
        <item x="12"/>
        <item x="13"/>
        <item x="14"/>
        <item x="15"/>
        <item x="16"/>
        <item x="17"/>
        <item x="18"/>
        <item x="19"/>
        <item x="20"/>
        <item x="21"/>
        <item x="22"/>
        <item x="23"/>
        <item x="24"/>
        <item x="25"/>
        <item x="26"/>
        <item x="27"/>
        <item x="28"/>
      </items>
    </pivotField>
    <pivotField dataField="1" subtotalTop="0" showAll="0" defaultSubtotal="0"/>
  </pivotFields>
  <rowFields count="1">
    <field x="0"/>
  </rowFields>
  <rowItems count="11">
    <i>
      <x v="8"/>
    </i>
    <i>
      <x v="33"/>
    </i>
    <i>
      <x v="35"/>
    </i>
    <i>
      <x v="40"/>
    </i>
    <i>
      <x v="45"/>
    </i>
    <i>
      <x v="47"/>
    </i>
    <i>
      <x v="50"/>
    </i>
    <i>
      <x v="57"/>
    </i>
    <i>
      <x v="81"/>
    </i>
    <i>
      <x v="89"/>
    </i>
    <i t="grand">
      <x/>
    </i>
  </rowItems>
  <colFields count="1">
    <field x="1"/>
  </colFields>
  <colItems count="6">
    <i>
      <x/>
    </i>
    <i>
      <x v="1"/>
    </i>
    <i>
      <x v="2"/>
    </i>
    <i>
      <x v="6"/>
    </i>
    <i>
      <x v="11"/>
    </i>
    <i t="grand">
      <x/>
    </i>
  </colItems>
  <dataFields count="1">
    <dataField name="Count of show_id" fld="2" subtotal="count" baseField="0" baseItem="0"/>
  </dataFields>
  <conditionalFormats count="3">
    <conditionalFormat priority="3">
      <pivotAreas count="1">
        <pivotArea type="data" outline="0" collapsedLevelsAreSubtotals="1" fieldPosition="0">
          <references count="1">
            <reference field="4294967294" count="1" selected="0">
              <x v="0"/>
            </reference>
          </references>
        </pivotArea>
      </pivotAreas>
    </conditionalFormat>
    <conditionalFormat priority="2">
      <pivotAreas count="1">
        <pivotArea type="data" collapsedLevelsAreSubtotals="1" fieldPosition="0">
          <references count="2">
            <reference field="4294967294" count="1" selected="0">
              <x v="0"/>
            </reference>
            <reference field="0" count="9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reference>
          </references>
        </pivotArea>
      </pivotAreas>
    </conditionalFormat>
    <conditionalFormat priority="1">
      <pivotAreas count="1">
        <pivotArea type="data" collapsedLevelsAreSubtotals="1" fieldPosition="0">
          <references count="2">
            <reference field="4294967294" count="1" selected="0">
              <x v="0"/>
            </reference>
            <reference field="0" count="9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reference>
          </references>
        </pivotArea>
      </pivotAreas>
    </conditionalFormat>
  </conditionalFormats>
  <chartFormats count="5">
    <chartFormat chart="30" format="0" series="1">
      <pivotArea type="data" outline="0" fieldPosition="0">
        <references count="2">
          <reference field="4294967294" count="1" selected="0">
            <x v="0"/>
          </reference>
          <reference field="1" count="1" selected="0">
            <x v="0"/>
          </reference>
        </references>
      </pivotArea>
    </chartFormat>
    <chartFormat chart="30" format="1" series="1">
      <pivotArea type="data" outline="0" fieldPosition="0">
        <references count="2">
          <reference field="4294967294" count="1" selected="0">
            <x v="0"/>
          </reference>
          <reference field="1" count="1" selected="0">
            <x v="1"/>
          </reference>
        </references>
      </pivotArea>
    </chartFormat>
    <chartFormat chart="30" format="2" series="1">
      <pivotArea type="data" outline="0" fieldPosition="0">
        <references count="2">
          <reference field="4294967294" count="1" selected="0">
            <x v="0"/>
          </reference>
          <reference field="1" count="1" selected="0">
            <x v="2"/>
          </reference>
        </references>
      </pivotArea>
    </chartFormat>
    <chartFormat chart="30" format="3" series="1">
      <pivotArea type="data" outline="0" fieldPosition="0">
        <references count="2">
          <reference field="4294967294" count="1" selected="0">
            <x v="0"/>
          </reference>
          <reference field="1" count="1" selected="0">
            <x v="6"/>
          </reference>
        </references>
      </pivotArea>
    </chartFormat>
    <chartFormat chart="30" format="4" series="1">
      <pivotArea type="data" outline="0" fieldPosition="0">
        <references count="2">
          <reference field="4294967294" count="1" selected="0">
            <x v="0"/>
          </reference>
          <reference field="1" count="1" selected="0">
            <x v="11"/>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32">
      <autoFilter ref="A1">
        <filterColumn colId="0">
          <top10 val="10" filterVal="10"/>
        </filterColumn>
      </autoFilter>
    </filter>
  </filters>
  <rowHierarchiesUsage count="1">
    <rowHierarchyUsage hierarchyUsage="9"/>
  </rowHierarchiesUsage>
  <colHierarchiesUsage count="1">
    <colHierarchyUsage hierarchyUsage="2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F4D0A92-D9BB-42BA-9E5B-846F2888F3B0}" name="PT3_Directors" cacheId="18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2">
  <location ref="A39:B50"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7"/>
    </i>
    <i>
      <x v="2"/>
    </i>
    <i>
      <x v="5"/>
    </i>
    <i>
      <x v="4"/>
    </i>
    <i>
      <x v="9"/>
    </i>
    <i>
      <x v="1"/>
    </i>
    <i>
      <x v="6"/>
    </i>
    <i>
      <x/>
    </i>
    <i>
      <x v="8"/>
    </i>
    <i>
      <x v="3"/>
    </i>
    <i t="grand">
      <x/>
    </i>
  </rowItems>
  <colItems count="1">
    <i/>
  </colItems>
  <dataFields count="1">
    <dataField name="Count of show_id" fld="1" subtotal="count" baseField="0" baseItem="0"/>
  </dataFields>
  <chartFormats count="2">
    <chartFormat chart="2" format="0" series="1">
      <pivotArea type="data" outline="0" fieldPosition="0">
        <references count="1">
          <reference field="4294967294" count="1" selected="0">
            <x v="0"/>
          </reference>
        </references>
      </pivotArea>
    </chartFormat>
    <chartFormat chart="19" format="3"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33">
      <autoFilter ref="A1">
        <filterColumn colId="0">
          <top10 val="10" filterVal="10"/>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rector_Unpack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B37EC16-33BE-4918-974A-4C8ED1111DF2}" name="PT2_UnknownCountry" cacheId="2" applyNumberFormats="0" applyBorderFormats="0" applyFontFormats="0" applyPatternFormats="0" applyAlignmentFormats="0" applyWidthHeightFormats="1" dataCaption="Values" tag="a52517a9-b174-46cb-9319-0997bbeb28ec" updatedVersion="8" minRefreshableVersion="3" useAutoFormatting="1" subtotalHiddenItems="1" itemPrintTitles="1" createdVersion="8" indent="0" outline="1" outlineData="1" multipleFieldFilters="0" chartFormat="29">
  <location ref="A20:B31"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4"/>
    </i>
    <i>
      <x v="9"/>
    </i>
    <i>
      <x v="6"/>
    </i>
    <i>
      <x v="2"/>
    </i>
    <i>
      <x v="8"/>
    </i>
    <i>
      <x v="1"/>
    </i>
    <i>
      <x v="3"/>
    </i>
    <i>
      <x v="5"/>
    </i>
    <i>
      <x/>
    </i>
    <i>
      <x v="7"/>
    </i>
    <i t="grand">
      <x/>
    </i>
  </rowItems>
  <colItems count="1">
    <i/>
  </colItems>
  <dataFields count="1">
    <dataField name="Count of show_id" fld="1" subtotal="count" baseField="0" baseItem="0"/>
  </dataFields>
  <chartFormats count="1">
    <chartFormat chart="2" format="0"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2">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1F5499C-5891-431B-97BC-D4001BEFA029}" name="PT7_YearTrend"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4">
  <location ref="A115:B119"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fld="1" subtotal="count" baseField="0" baseItem="0"/>
  </dataFields>
  <chartFormats count="4">
    <chartFormat chart="31" format="0" series="1">
      <pivotArea type="data" outline="0" fieldPosition="0">
        <references count="1">
          <reference field="4294967294" count="1" selected="0">
            <x v="0"/>
          </reference>
        </references>
      </pivotArea>
    </chartFormat>
    <chartFormat chart="31" format="1">
      <pivotArea type="data" outline="0" fieldPosition="0">
        <references count="2">
          <reference field="4294967294" count="1" selected="0">
            <x v="0"/>
          </reference>
          <reference field="0" count="1" selected="0">
            <x v="1"/>
          </reference>
        </references>
      </pivotArea>
    </chartFormat>
    <chartFormat chart="31" format="2">
      <pivotArea type="data" outline="0" fieldPosition="0">
        <references count="2">
          <reference field="4294967294" count="1" selected="0">
            <x v="0"/>
          </reference>
          <reference field="0" count="1" selected="0">
            <x v="2"/>
          </reference>
        </references>
      </pivotArea>
    </chartFormat>
    <chartFormat chart="49" format="5"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rector1" xr10:uid="{9FB852A4-BE7A-4CDE-BBF7-B25E23C9DD14}" sourceName="[Director_Unpacked].[director]">
  <pivotTables>
    <pivotTable tabId="2" name="PT6_DirectorCollab"/>
  </pivotTables>
  <data>
    <olap pivotCacheId="2094705345">
      <levels count="2">
        <level uniqueName="[Director_Unpacked].[director].[(All)]" sourceCaption="(All)" count="0"/>
        <level uniqueName="[Director_Unpacked].[director].[director]" sourceCaption="director" count="674">
          <ranges>
            <range startItem="0">
              <i n="[Director_Unpacked].[director].&amp;[ Alan Zaslove]" c=" Alan Zaslove"/>
              <i n="[Director_Unpacked].[director].&amp;[ Andrew Jimenez]" c=" Andrew Jimenez"/>
              <i n="[Director_Unpacked].[director].&amp;[ Andy Byatt]" c=" Andy Byatt"/>
              <i n="[Director_Unpacked].[director].&amp;[ Angus MacLane]" c=" Angus MacLane"/>
              <i n="[Director_Unpacked].[director].&amp;[ Art Stevens]" c=" Art Stevens"/>
              <i n="[Director_Unpacked].[director].&amp;[ Beverly Joubert]" c=" Beverly Joubert"/>
              <i n="[Director_Unpacked].[director].&amp;[ Bill Roberts]" c=" Bill Roberts"/>
              <i n="[Director_Unpacked].[director].&amp;[ Bill Speers]" c=" Bill Speers"/>
              <i n="[Director_Unpacked].[director].&amp;[ Bobs Gannaway]" c=" Bobs Gannaway"/>
              <i n="[Director_Unpacked].[director].&amp;[ Brenda Chapman]" c=" Brenda Chapman"/>
              <i n="[Director_Unpacked].[director].&amp;[ Brett Sullivan]" c=" Brett Sullivan"/>
              <i n="[Director_Unpacked].[director].&amp;[ Brian Smith]" c=" Brian Smith"/>
              <i n="[Director_Unpacked].[director].&amp;[ Byron Howard]" c=" Byron Howard"/>
              <i n="[Director_Unpacked].[director].&amp;[ Carlos López Estrada]" c=" Carlos López Estrada"/>
              <i n="[Director_Unpacked].[director].&amp;[ Chris Buck]" c=" Chris Buck"/>
              <i n="[Director_Unpacked].[director].&amp;[ Chris Williams]" c=" Chris Williams"/>
              <i n="[Director_Unpacked].[director].&amp;[ Chuck Sheetz]" c=" Chuck Sheetz"/>
              <i n="[Director_Unpacked].[director].&amp;[ Clyde Geronimi]" c=" Clyde Geronimi"/>
              <i n="[Director_Unpacked].[director].&amp;[ Darren Foster]" c=" Darren Foster"/>
              <i n="[Director_Unpacked].[director].&amp;[ Dave Michener]" c=" Dave Michener"/>
              <i n="[Director_Unpacked].[director].&amp;[ Dave Wasson]" c=" Dave Wasson"/>
              <i n="[Director_Unpacked].[director].&amp;[ Dean DeBlois]" c=" Dean DeBlois"/>
              <i n="[Director_Unpacked].[director].&amp;[ Don Hall]" c=" Don Hall"/>
              <i n="[Director_Unpacked].[director].&amp;[ Eddie Trigueros]" c=" Eddie Trigueros"/>
              <i n="[Director_Unpacked].[director].&amp;[ Emma Fraser]" c=" Emma Fraser"/>
              <i n="[Director_Unpacked].[director].&amp;[ Eric Goldberg]" c=" Eric Goldberg"/>
              <i n="[Director_Unpacked].[director].&amp;[ Eric Leighton]" c=" Eric Leighton"/>
              <i n="[Director_Unpacked].[director].&amp;[ Espen Sandberg]" c=" Espen Sandberg"/>
              <i n="[Director_Unpacked].[director].&amp;[ Gary Goldman]" c=" Gary Goldman"/>
              <i n="[Director_Unpacked].[director].&amp;[ Gary Katona]" c=" Gary Katona"/>
              <i n="[Director_Unpacked].[director].&amp;[ Gregory Sherman]" c=" Gregory Sherman"/>
              <i n="[Director_Unpacked].[director].&amp;[ Ham Luske]" c=" Ham Luske"/>
              <i n="[Director_Unpacked].[director].&amp;[ Hamilton Luske]" c=" Hamilton Luske"/>
              <i n="[Director_Unpacked].[director].&amp;[ Hendel Butoy]" c=" Hendel Butoy"/>
              <i n="[Director_Unpacked].[director].&amp;[ Jack Kinney]" c=" Jack Kinney"/>
              <i n="[Director_Unpacked].[director].&amp;[ Jacques Cluzaud]" c=" Jacques Cluzaud"/>
              <i n="[Director_Unpacked].[director].&amp;[ James Algar]" c=" James Algar"/>
              <i n="[Director_Unpacked].[director].&amp;[ James Buchanan]" c=" James Buchanan"/>
              <i n="[Director_Unpacked].[director].&amp;[ Jamie Mitchell]" c=" Jamie Mitchell"/>
              <i n="[Director_Unpacked].[director].&amp;[ Janet Tobias]" c=" Janet Tobias"/>
              <i n="[Director_Unpacked].[director].&amp;[ Jeff Wilson]" c=" Jeff Wilson"/>
              <i n="[Director_Unpacked].[director].&amp;[ Jennifer Lee]" c=" Jennifer Lee"/>
              <i n="[Director_Unpacked].[director].&amp;[ Jess Tombs]" c=" Jess Tombs"/>
              <i n="[Director_Unpacked].[director].&amp;[ Jimmy Chin]" c=" Jimmy Chin"/>
              <i n="[Director_Unpacked].[director].&amp;[ Joe Johnston]" c=" Joe Johnston"/>
              <i n="[Director_Unpacked].[director].&amp;[ Joe Russo]" c=" Joe Russo"/>
              <i n="[Director_Unpacked].[director].&amp;[ John Lounsbery]" c=" John Lounsbery"/>
              <i n="[Director_Unpacked].[director].&amp;[ John Musker]" c=" John Musker"/>
              <i n="[Director_Unpacked].[director].&amp;[ John Sanford]" c=" John Sanford"/>
              <i n="[Director_Unpacked].[director].&amp;[ Josselin Mahot]" c=" Josselin Mahot"/>
              <i n="[Director_Unpacked].[director].&amp;[ Jun Falkenstein]" c=" Jun Falkenstein"/>
              <i n="[Director_Unpacked].[director].&amp;[ Keith Scholey]" c=" Keith Scholey"/>
              <i n="[Director_Unpacked].[director].&amp;[ Ken Wheat]" c=" Ken Wheat"/>
              <i n="[Director_Unpacked].[director].&amp;[ Kevin Burns]" c=" Kevin Burns"/>
              <i n="[Director_Unpacked].[director].&amp;[ Kevin Deters]" c=" Kevin Deters"/>
              <i n="[Director_Unpacked].[director].&amp;[ Kimberly Woodard]" c=" Kimberly Woodard"/>
              <i n="[Director_Unpacked].[director].&amp;[ Kirk Wise]" c=" Kirk Wise"/>
              <i n="[Director_Unpacked].[director].&amp;[ Leander Ward]" c=" Leander Ward"/>
              <i n="[Director_Unpacked].[director].&amp;[ Leanne Dare]" c=" Leanne Dare"/>
              <i n="[Director_Unpacked].[director].&amp;[ Lynne Southerland]" c=" Lynne Southerland"/>
              <i n="[Director_Unpacked].[director].&amp;[ Marc Ostrick]" c=" Marc Ostrick"/>
              <i n="[Director_Unpacked].[director].&amp;[ Mark Linfield]" c=" Mark Linfield"/>
              <i n="[Director_Unpacked].[director].&amp;[ Michael Bonfiglio]" c=" Michael Bonfiglio"/>
              <i n="[Director_Unpacked].[director].&amp;[ Michael LaBash]" c=" Michael LaBash"/>
              <i n="[Director_Unpacked].[director].&amp;[ Mike Gabriel]" c=" Mike Gabriel"/>
              <i n="[Director_Unpacked].[director].&amp;[ Neil Nightingale]" c=" Neil Nightingale"/>
              <i n="[Director_Unpacked].[director].&amp;[ Norman Foster]" c=" Norman Foster"/>
              <i n="[Director_Unpacked].[director].&amp;[ Patrick Osborne]" c=" Patrick Osborne"/>
              <i n="[Director_Unpacked].[director].&amp;[ Pete Berg]" c=" Pete Berg"/>
              <i n="[Director_Unpacked].[director].&amp;[ Phil Johnston]" c=" Phil Johnston"/>
              <i n="[Director_Unpacked].[director].&amp;[ Ralph Wright]" c=" Ralph Wright"/>
              <i n="[Director_Unpacked].[director].&amp;[ Rich Moore]" c=" Rich Moore"/>
              <i n="[Director_Unpacked].[director].&amp;[ Richard Rich]" c=" Richard Rich"/>
              <i n="[Director_Unpacked].[director].&amp;[ Rob Minkoff]" c=" Rob Minkoff"/>
              <i n="[Director_Unpacked].[director].&amp;[ Robert Hughes]" c=" Robert Hughes"/>
              <i n="[Director_Unpacked].[director].&amp;[ Robert Stevenson]" c=" Robert Stevenson"/>
              <i n="[Director_Unpacked].[director].&amp;[ Robert Walker]" c=" Robert Walker"/>
              <i n="[Director_Unpacked].[director].&amp;[ Roger Gould]" c=" Roger Gould"/>
              <i n="[Director_Unpacked].[director].&amp;[ Ron Clements]" c=" Ron Clements"/>
              <i n="[Director_Unpacked].[director].&amp;[ Ryan Fleck]" c=" Ryan Fleck"/>
              <i n="[Director_Unpacked].[director].&amp;[ Saul Blinkoff]" c=" Saul Blinkoff"/>
              <i n="[Director_Unpacked].[director].&amp;[ Scott Morse]" c=" Scott Morse"/>
              <i n="[Director_Unpacked].[director].&amp;[ Simon Kessler]" c=" Simon Kessler"/>
              <i n="[Director_Unpacked].[director].&amp;[ Stephen Sandoval]" c=" Stephen Sandoval"/>
              <i n="[Director_Unpacked].[director].&amp;[ Steve Martino]" c=" Steve Martino"/>
              <i n="[Director_Unpacked].[director].&amp;[ Steven Quale]" c=" Steven Quale"/>
              <i n="[Director_Unpacked].[director].&amp;[ Stevie Wermers-Skelton]" c=" Stevie Wermers-Skelton"/>
              <i n="[Director_Unpacked].[director].&amp;[ Sue Perrotto]" c=" Sue Perrotto"/>
              <i n="[Director_Unpacked].[director].&amp;[ Tad Stones]" c=" Tad Stones"/>
              <i n="[Director_Unpacked].[director].&amp;[ Ted Berman]" c=" Ted Berman"/>
              <i n="[Director_Unpacked].[director].&amp;[ Toby Shelton]" c=" Toby Shelton"/>
              <i n="[Director_Unpacked].[director].&amp;[ Tom Ellery]" c=" Tom Ellery"/>
              <i n="[Director_Unpacked].[director].&amp;[ Tom Jenner]" c=" Tom Jenner"/>
              <i n="[Director_Unpacked].[director].&amp;[ Tony Craig]" c=" Tony Craig"/>
              <i n="[Director_Unpacked].[director].&amp;[ Trent Correy]" c=" Trent Correy"/>
              <i n="[Director_Unpacked].[director].&amp;[ Ub Iwerks]" c=" Ub Iwerks"/>
              <i n="[Director_Unpacked].[director].&amp;[ Victor Cook]" c=" Victor Cook"/>
              <i n="[Director_Unpacked].[director].&amp;[ W. Roberts]" c=" W. Roberts"/>
              <i n="[Director_Unpacked].[director].&amp;[ Walt Disney]" c=" Walt Disney"/>
              <i n="[Director_Unpacked].[director].&amp;[ Wayne Abbott]" c=" Wayne Abbott"/>
              <i n="[Director_Unpacked].[director].&amp;[ Wilfred Jackson]" c=" Wilfred Jackson"/>
              <i n="[Director_Unpacked].[director].&amp;[ William Beaudine]" c=" William Beaudine"/>
              <i n="[Director_Unpacked].[director].&amp;[ Yohann Thiriet]" c=" Yohann Thiriet"/>
              <i n="[Director_Unpacked].[director].&amp;[ Zach Lipovsky]" c=" Zach Lipovsky"/>
              <i n="[Director_Unpacked].[director].&amp;[ 钟智行]" c=" 钟智行"/>
              <i n="[Director_Unpacked].[director].&amp;[Aaron Blaise]" c="Aaron Blaise"/>
              <i n="[Director_Unpacked].[director].&amp;[Adam Shankman]" c="Adam Shankman"/>
              <i n="[Director_Unpacked].[director].&amp;[Adam Stein]" c="Adam Stein"/>
              <i n="[Director_Unpacked].[director].&amp;[Alan Barillaro]" c="Alan Barillaro"/>
              <i n="[Director_Unpacked].[director].&amp;[Alan Shapiro]" c="Alan Shapiro"/>
              <i n="[Director_Unpacked].[director].&amp;[Alan Taylor]" c="Alan Taylor"/>
              <i n="[Director_Unpacked].[director].&amp;[Alastair Fothergill]" c="Alastair Fothergill"/>
              <i n="[Director_Unpacked].[director].&amp;[Alex Zamm]" c="Alex Zamm"/>
              <i n="[Director_Unpacked].[director].&amp;[Alfred Gimeno]" c="Alfred Gimeno"/>
              <i n="[Director_Unpacked].[director].&amp;[Alfred Werker]" c="Alfred Werker"/>
              <i n="[Director_Unpacked].[director].&amp;[Allison Liddi-Brown]" c="Allison Liddi-Brown"/>
              <i n="[Director_Unpacked].[director].&amp;[Alonso Ramirez Ramos]" c="Alonso Ramirez Ramos"/>
              <i n="[Director_Unpacked].[director].&amp;[Alvy Smith]" c="Alvy Smith"/>
              <i n="[Director_Unpacked].[director].&amp;[Andrew Adamson]" c="Andrew Adamson"/>
              <i n="[Director_Unpacked].[director].&amp;[Andrew Davis]" c="Andrew Davis"/>
              <i n="[Director_Unpacked].[director].&amp;[Andrew Stanton]" c="Andrew Stanton"/>
              <i n="[Director_Unpacked].[director].&amp;[Andy Fickman]" c="Andy Fickman"/>
              <i n="[Director_Unpacked].[director].&amp;[Andy Knight]" c="Andy Knight"/>
              <i n="[Director_Unpacked].[director].&amp;[Andy Seestedt]" c="Andy Seestedt"/>
              <i n="[Director_Unpacked].[director].&amp;[Andy Tennant]" c="Andy Tennant"/>
              <i n="[Director_Unpacked].[director].&amp;[Angela Affinita]" c="Angela Affinita"/>
              <i n="[Director_Unpacked].[director].&amp;[Angus MacLane]" c="Angus MacLane"/>
              <i n="[Director_Unpacked].[director].&amp;[Ann Marie Pace]" c="Ann Marie Pace"/>
              <i n="[Director_Unpacked].[director].&amp;[Anna Boden]" c="Anna Boden"/>
              <i n="[Director_Unpacked].[director].&amp;[Anthony Hemingway]" c="Anthony Hemingway"/>
              <i n="[Director_Unpacked].[director].&amp;[Anthony Russo]" c="Anthony Russo"/>
              <i n="[Director_Unpacked].[director].&amp;[Aphton Corbin]" c="Aphton Corbin"/>
              <i n="[Director_Unpacked].[director].&amp;[Aqsa Altaf]" c="Aqsa Altaf"/>
              <i n="[Director_Unpacked].[director].&amp;[Arlene Sanford]" c="Arlene Sanford"/>
              <i n="[Director_Unpacked].[director].&amp;[Art Stevens]" c="Art Stevens"/>
              <i n="[Director_Unpacked].[director].&amp;[Ashley Avis]" c="Ashley Avis"/>
              <i n="[Director_Unpacked].[director].&amp;[Ava DuVernay]" c="Ava DuVernay"/>
              <i n="[Director_Unpacked].[director].&amp;[Barry Cook]" c="Barry Cook"/>
              <i n="[Director_Unpacked].[director].&amp;[Ben Allen]" c="Ben Allen"/>
              <i n="[Director_Unpacked].[director].&amp;[Ben Crichton]" c="Ben Crichton"/>
              <i n="[Director_Unpacked].[director].&amp;[Ben Finney]" c="Ben Finney"/>
              <i n="[Director_Unpacked].[director].&amp;[Ben Sharpsteen]" c="Ben Sharpsteen"/>
              <i n="[Director_Unpacked].[director].&amp;[Ben Wallis]" c="Ben Wallis"/>
              <i n="[Director_Unpacked].[director].&amp;[Benjamin Gluck]" c="Benjamin Gluck"/>
              <i n="[Director_Unpacked].[director].&amp;[Bernard McEveety]" c="Bernard McEveety"/>
              <i n="[Director_Unpacked].[director].&amp;[Bert Gillett]" c="Bert Gillett"/>
              <i n="[Director_Unpacked].[director].&amp;[Beyoncé Knowles-Carter]" c="Beyoncé Knowles-Carter"/>
              <i n="[Director_Unpacked].[director].&amp;[Bill Condon]" c="Bill Condon"/>
              <i n="[Director_Unpacked].[director].&amp;[Bill Corcoran]" c="Bill Corcoran"/>
              <i n="[Director_Unpacked].[director].&amp;[Bill Duke]" c="Bill Duke"/>
              <i n="[Director_Unpacked].[director].&amp;[Bill Paxton]" c="Bill Paxton"/>
              <i n="[Director_Unpacked].[director].&amp;[Bill Roberts]" c="Bill Roberts"/>
              <i n="[Director_Unpacked].[director].&amp;[Blair Treu]" c="Blair Treu"/>
              <i n="[Director_Unpacked].[director].&amp;[Boaz Yakin]" c="Boaz Yakin"/>
              <i n="[Director_Unpacked].[director].&amp;[Bob Hathcock]" c="Bob Hathcock"/>
              <i n="[Director_Unpacked].[director].&amp;[Bob Kline]" c="Bob Kline"/>
              <i n="[Director_Unpacked].[director].&amp;[Bob Peterson]" c="Bob Peterson"/>
              <i n="[Director_Unpacked].[director].&amp;[Bob Spiers]" c="Bob Spiers"/>
              <i n="[Director_Unpacked].[director].&amp;[Bob Strange]" c="Bob Strange"/>
              <i n="[Director_Unpacked].[director].&amp;[Bobby Rubio]" c="Bobby Rubio"/>
              <i n="[Director_Unpacked].[director].&amp;[Bobs Gannaway]" c="Bobs Gannaway"/>
              <i n="[Director_Unpacked].[director].&amp;[Brad Bestelink]" c="Brad Bestelink"/>
              <i n="[Director_Unpacked].[director].&amp;[Brad Bird]" c="Brad Bird"/>
              <i n="[Director_Unpacked].[director].&amp;[Bradley Raymond]" c="Bradley Raymond"/>
              <i n="[Director_Unpacked].[director].&amp;[Brandon Hill]" c="Brandon Hill"/>
              <i n="[Director_Unpacked].[director].&amp;[Brett Morgen]" c="Brett Morgen"/>
              <i n="[Director_Unpacked].[director].&amp;[Brett Ratner]" c="Brett Ratner"/>
              <i n="[Director_Unpacked].[director].&amp;[Brian Fee]" c="Brian Fee"/>
              <i n="[Director_Unpacked].[director].&amp;[Brian Henson]" c="Brian Henson"/>
              <i n="[Director_Unpacked].[director].&amp;[Brian Larsen]" c="Brian Larsen"/>
              <i n="[Director_Unpacked].[director].&amp;[Brian Levant]" c="Brian Levant"/>
              <i n="[Director_Unpacked].[director].&amp;[Brian Pimental]" c="Brian Pimental"/>
              <i n="[Director_Unpacked].[director].&amp;[Brian Smith]" c="Brian Smith"/>
              <i n="[Director_Unpacked].[director].&amp;[Bruce Bilson]" c="Bruce Bilson"/>
              <i n="[Director_Unpacked].[director].&amp;[Bruce Hendricks]" c="Bruce Hendricks"/>
              <i n="[Director_Unpacked].[director].&amp;[Bruce Smith]" c="Bruce Smith"/>
              <i n="[Director_Unpacked].[director].&amp;[Bryan Singer]" c="Bryan Singer"/>
              <i n="[Director_Unpacked].[director].&amp;[Bud Luckey]" c="Bud Luckey"/>
              <i n="[Director_Unpacked].[director].&amp;[Burny Mattinson]" c="Burny Mattinson"/>
              <i n="[Director_Unpacked].[director].&amp;[Burt Gillett]" c="Burt Gillett"/>
              <i n="[Director_Unpacked].[director].&amp;[Byron Haskin]" c="Byron Haskin"/>
              <i n="[Director_Unpacked].[director].&amp;[Byron Howard]" c="Byron Howard"/>
              <i n="[Director_Unpacked].[director].&amp;[C. Nichols]" c="C. Nichols"/>
              <i n="[Director_Unpacked].[director].&amp;[Cameron Crowe]" c="Cameron Crowe"/>
              <i n="[Director_Unpacked].[director].&amp;[Carlos Saldanha]" c="Carlos Saldanha"/>
              <i n="[Director_Unpacked].[director].&amp;[Cate Shortland]" c="Cate Shortland"/>
              <i n="[Director_Unpacked].[director].&amp;[Chad Cohen]" c="Chad Cohen"/>
              <i n="[Director_Unpacked].[director].&amp;[Charles Barton]" c="Charles Barton"/>
              <i n="[Director_Unpacked].[director].&amp;[Charles Draper]" c="Charles Draper"/>
              <i n="[Director_Unpacked].[director].&amp;[Charles Haid]" c="Charles Haid"/>
              <i n="[Director_Unpacked].[director].&amp;[Charles Nichols]" c="Charles Nichols"/>
              <i n="[Director_Unpacked].[director].&amp;[Charlie Bean]" c="Charlie Bean"/>
              <i n="[Director_Unpacked].[director].&amp;[Chris Buck]" c="Chris Buck"/>
              <i n="[Director_Unpacked].[director].&amp;[Chris Columbus]" c="Chris Columbus"/>
              <i n="[Director_Unpacked].[director].&amp;[Chris Hamilton]" c="Chris Hamilton"/>
              <i n="[Director_Unpacked].[director].&amp;[Chris Rutkowski]" c="Chris Rutkowski"/>
              <i n="[Director_Unpacked].[director].&amp;[Chris Williams]" c="Chris Williams"/>
              <i n="[Director_Unpacked].[director].&amp;[Chris Wilson]" c="Chris Wilson"/>
              <i n="[Director_Unpacked].[director].&amp;[Christian Baumeister]" c="Christian Baumeister"/>
              <i n="[Director_Unpacked].[director].&amp;[Christopher Sanders]" c="Christopher Sanders"/>
              <i n="[Director_Unpacked].[director].&amp;[Christopher Spencer]" c="Christopher Spencer"/>
              <i n="[Director_Unpacked].[director].&amp;[Chuck Sheetz]" c="Chuck Sheetz"/>
              <i n="[Director_Unpacked].[director].&amp;[Clayton Cogswell]" c="Clayton Cogswell"/>
              <i n="[Director_Unpacked].[director].&amp;[Clyde Geronimi]" c="Clyde Geronimi"/>
              <i n="[Director_Unpacked].[director].&amp;[Craig Gillespie]" c="Craig Gillespie"/>
              <i n="[Director_Unpacked].[director].&amp;[Crispin Sadler]" c="Crispin Sadler"/>
              <i n="[Director_Unpacked].[director].&amp;[Cristina Costantini]" c="Cristina Costantini"/>
              <i n="[Director_Unpacked].[director].&amp;[Daisy Mayer]" c="Daisy Mayer"/>
              <i n="[Director_Unpacked].[director].&amp;[Dan Abraham]" c="Dan Abraham"/>
              <i n="[Director_Unpacked].[director].&amp;[Dan Mazer]" c="Dan Mazer"/>
              <i n="[Director_Unpacked].[director].&amp;[Dan Oliver]" c="Dan Oliver"/>
              <i n="[Director_Unpacked].[director].&amp;[Dan Povenmire]" c="Dan Povenmire"/>
              <i n="[Director_Unpacked].[director].&amp;[Dan Scanlon]" c="Dan Scanlon"/>
              <i n="[Director_Unpacked].[director].&amp;[Daniel Petrie]" c="Daniel Petrie"/>
              <i n="[Director_Unpacked].[director].&amp;[Daniel Smith]" c="Daniel Smith"/>
              <i n="[Director_Unpacked].[director].&amp;[Daniel Stern]" c="Daniel Stern"/>
              <i n="[Director_Unpacked].[director].&amp;[Darrell Rooney]" c="Darrell Rooney"/>
              <i n="[Director_Unpacked].[director].&amp;[Dave Hand]" c="Dave Hand"/>
              <i n="[Director_Unpacked].[director].&amp;[Dave Hoffman]" c="Dave Hoffman"/>
              <i n="[Director_Unpacked].[director].&amp;[Dave Mullins]" c="Dave Mullins"/>
              <i n="[Director_Unpacked].[director].&amp;[David Bowers]" c="David Bowers"/>
              <i n="[Director_Unpacked].[director].&amp;[David Clair]" c="David Clair"/>
              <i n="[Director_Unpacked].[director].&amp;[David Ellis]" c="David Ellis"/>
              <i n="[Director_Unpacked].[director].&amp;[David Evans]" c="David Evans"/>
              <i n="[Director_Unpacked].[director].&amp;[David Frankel]" c="David Frankel"/>
              <i n="[Director_Unpacked].[director].&amp;[David Gelb]" c="David Gelb"/>
              <i n="[Director_Unpacked].[director].&amp;[David Grossman]" c="David Grossman"/>
              <i n="[Director_Unpacked].[director].&amp;[David Hand]" c="David Hand"/>
              <i n="[Director_Unpacked].[director].&amp;[David Jackson]" c="David Jackson"/>
              <i n="[Director_Unpacked].[director].&amp;[David Kellogg]" c="David Kellogg"/>
              <i n="[Director_Unpacked].[director].&amp;[David Lowery]" c="David Lowery"/>
              <i n="[Director_Unpacked].[director].&amp;[David Lynch]" c="David Lynch"/>
              <i n="[Director_Unpacked].[director].&amp;[David Mickey Evans]" c="David Mickey Evans"/>
              <i n="[Director_Unpacked].[director].&amp;[David Silverman]" c="David Silverman"/>
              <i n="[Director_Unpacked].[director].&amp;[David Swift]" c="David Swift"/>
              <i n="[Director_Unpacked].[director].&amp;[Dean Cundey]" c="Dean Cundey"/>
              <i n="[Director_Unpacked].[director].&amp;[Dean Wellins]" c="Dean Wellins"/>
              <i n="[Director_Unpacked].[director].&amp;[Dereck Joubert]" c="Dereck Joubert"/>
              <i n="[Director_Unpacked].[director].&amp;[Destin Daniel Cretton]" c="Destin Daniel Cretton"/>
              <i n="[Director_Unpacked].[director].&amp;[Dexter Fletcher]" c="Dexter Fletcher"/>
              <i n="[Director_Unpacked].[director].&amp;[Dick Lundy]" c="Dick Lundy"/>
              <i n="[Director_Unpacked].[director].&amp;[Dick Rickard]" c="Dick Rickard"/>
              <i n="[Director_Unpacked].[director].&amp;[Domee Shi]" c="Domee Shi"/>
              <i n="[Director_Unpacked].[director].&amp;[Don Bluth]" c="Don Bluth"/>
              <i n="[Director_Unpacked].[director].&amp;[Don Chaffey]" c="Don Chaffey"/>
              <i n="[Director_Unpacked].[director].&amp;[Don Hahn]" c="Don Hahn"/>
              <i n="[Director_Unpacked].[director].&amp;[Don Hall]" c="Don Hall"/>
              <i n="[Director_Unpacked].[director].&amp;[Donald Petrie]" c="Donald Petrie"/>
              <i n="[Director_Unpacked].[director].&amp;[Donovan Cook]" c="Donovan Cook"/>
              <i n="[Director_Unpacked].[director].&amp;[Doug Shultz]" c="Doug Shultz"/>
              <i n="[Director_Unpacked].[director].&amp;[Doug Sweetland]" c="Doug Sweetland"/>
              <i n="[Director_Unpacked].[director].&amp;[Douglas McCarthy]" c="Douglas McCarthy"/>
              <i n="[Director_Unpacked].[director].&amp;[Drew Pearce]" c="Drew Pearce"/>
              <i n="[Director_Unpacked].[director].&amp;[Duncan Singh]" c="Duncan Singh"/>
              <i n="[Director_Unpacked].[director].&amp;[Duwayne Dunham]" c="Duwayne Dunham"/>
              <i n="[Director_Unpacked].[director].&amp;[Ed Abroms]" c="Ed Abroms"/>
              <i n="[Director_Unpacked].[director].&amp;[Ed Wexler]" c="Ed Wexler"/>
              <i n="[Director_Unpacked].[director].&amp;[Edith Becker]" c="Edith Becker"/>
              <i n="[Director_Unpacked].[director].&amp;[Edward Ludwig]" c="Edward Ludwig"/>
              <i n="[Director_Unpacked].[director].&amp;[Edwin Chang]" c="Edwin Chang"/>
              <i n="[Director_Unpacked].[director].&amp;[Elizabeth Allen Rosenbaum]" c="Elizabeth Allen Rosenbaum"/>
              <i n="[Director_Unpacked].[director].&amp;[Elizabeth Leiter]" c="Elizabeth Leiter"/>
              <i n="[Director_Unpacked].[director].&amp;[Elizabeth Vasarhelyi]" c="Elizabeth Vasarhelyi"/>
              <i n="[Director_Unpacked].[director].&amp;[Elliot Bour]" c="Elliot Bour"/>
              <i n="[Director_Unpacked].[director].&amp;[Emile Ardolino]" c="Emile Ardolino"/>
              <i n="[Director_Unpacked].[director].&amp;[Enrico Casarosa]" c="Enrico Casarosa"/>
              <i n="[Director_Unpacked].[director].&amp;[Eric Bross]" c="Eric Bross"/>
              <i n="[Director_Unpacked].[director].&amp;[Erica Milsom]" c="Erica Milsom"/>
              <i n="[Director_Unpacked].[director].&amp;[Ericson Core]" c="Ericson Core"/>
              <i n="[Director_Unpacked].[director].&amp;[Érik Canuel]" c="Érik Canuel"/>
              <i n="[Director_Unpacked].[director].&amp;[Euzhan Palcy]" c="Euzhan Palcy"/>
              <i n="[Director_Unpacked].[director].&amp;[Fabrice Gardel]" c="Fabrice Gardel"/>
              <i n="[Director_Unpacked].[director].&amp;[Fisher Stevens]" c="Fisher Stevens"/>
              <i n="[Director_Unpacked].[director].&amp;[Fletcher Markle]" c="Fletcher Markle"/>
              <i n="[Director_Unpacked].[director].&amp;[Francine McDougall]" c="Francine McDougall"/>
              <i n="[Director_Unpacked].[director].&amp;[Francis Coppola]" c="Francis Coppola"/>
              <i n="[Director_Unpacked].[director].&amp;[Francis Glebas]" c="Francis Glebas"/>
              <i n="[Director_Unpacked].[director].&amp;[Frank Coraci]" c="Frank Coraci"/>
              <i n="[Director_Unpacked].[director].&amp;[Frank Marshall]" c="Frank Marshall"/>
              <i n="[Director_Unpacked].[director].&amp;[Frank Nissen]" c="Frank Nissen"/>
              <i n="[Director_Unpacked].[director].&amp;[Fred Zinnemann]" c="Fred Zinnemann"/>
              <i n="[Director_Unpacked].[director].&amp;[Frederik Du Chau]" c="Frederik Du Chau"/>
              <i n="[Director_Unpacked].[director].&amp;[Fritz Mitchell]" c="Fritz Mitchell"/>
              <i n="[Director_Unpacked].[director].&amp;[Gareth Edwards]" c="Gareth Edwards"/>
              <i n="[Director_Unpacked].[director].&amp;[Garry Marshall]" c="Garry Marshall"/>
              <i n="[Director_Unpacked].[director].&amp;[Gary Chapman]" c="Gary Chapman"/>
              <i n="[Director_Unpacked].[director].&amp;[Gary Nelson]" c="Gary Nelson"/>
              <i n="[Director_Unpacked].[director].&amp;[Gary Rydstrom]" c="Gary Rydstrom"/>
              <i n="[Director_Unpacked].[director].&amp;[Gary Trousdale]" c="Gary Trousdale"/>
              <i n="[Director_Unpacked].[director].&amp;[Gavin Hood]" c="Gavin Hood"/>
              <i n="[Director_Unpacked].[director].&amp;[Gavin O'Connor]" c="Gavin O'Connor"/>
              <i n="[Director_Unpacked].[director].&amp;[Gene Kelly]" c="Gene Kelly"/>
              <i n="[Director_Unpacked].[director].&amp;[Geoff Luck]" c="Geoff Luck"/>
              <i n="[Director_Unpacked].[director].&amp;[George Butler]" c="George Butler"/>
              <i n="[Director_Unpacked].[director].&amp;[George Lucas]" c="George Lucas"/>
              <i n="[Director_Unpacked].[director].&amp;[George Scribner]" c="George Scribner"/>
              <i n="[Director_Unpacked].[director].&amp;[Gil Junger]" c="Gil Junger"/>
              <i n="[Director_Unpacked].[director].&amp;[Glenn Weiss]" c="Glenn Weiss"/>
              <i n="[Director_Unpacked].[director].&amp;[Gore Verbinski]" c="Gore Verbinski"/>
              <i n="[Director_Unpacked].[director].&amp;[Greg Beeman]" c="Greg Beeman"/>
              <i n="[Director_Unpacked].[director].&amp;[Gurinder Chadha]" c="Gurinder Chadha"/>
              <i n="[Director_Unpacked].[director].&amp;[Guy Ritchie]" c="Guy Ritchie"/>
              <i n="[Director_Unpacked].[director].&amp;[Hamilton Luske]" c="Hamilton Luske"/>
              <i n="[Director_Unpacked].[director].&amp;[Hamish Hamilton]" c="Hamish Hamilton"/>
              <i n="[Director_Unpacked].[director].&amp;[Hao Zheng]" c="Hao Zheng"/>
              <i n="[Director_Unpacked].[director].&amp;[Harald Pokieser]" c="Harald Pokieser"/>
              <i n="[Director_Unpacked].[director].&amp;[Hasraf Dulull]" c="Hasraf Dulull"/>
              <i n="[Director_Unpacked].[director].&amp;[Hendel Butoy]" c="Hendel Butoy"/>
              <i n="[Director_Unpacked].[director].&amp;[Henry Levin]" c="Henry Levin"/>
              <i n="[Director_Unpacked].[director].&amp;[Henry Selick]" c="Henry Selick"/>
              <i n="[Director_Unpacked].[director].&amp;[Hollingsworth Morse]" c="Hollingsworth Morse"/>
              <i n="[Director_Unpacked].[director].&amp;[Holly Sloan]" c="Holly Sloan"/>
              <i n="[Director_Unpacked].[director].&amp;[Howy Parkins]" c="Howy Parkins"/>
              <i n="[Director_Unpacked].[director].&amp;[Hoyt Yeatman IV]" c="Hoyt Yeatman IV"/>
              <i n="[Director_Unpacked].[director].&amp;[Irvin Kershner]" c="Irvin Kershner"/>
              <i n="[Director_Unpacked].[director].&amp;[J.J. Abrams]" c="J.J. Abrams"/>
              <i n="[Director_Unpacked].[director].&amp;[Jack Cutting]" c="Jack Cutting"/>
              <i n="[Director_Unpacked].[director].&amp;[Jack Donohue]" c="Jack Donohue"/>
              <i n="[Director_Unpacked].[director].&amp;[Jack Hannah]" c="Jack Hannah"/>
              <i n="[Director_Unpacked].[director].&amp;[Jack King]" c="Jack King"/>
              <i n="[Director_Unpacked].[director].&amp;[Jack Kinney]" c="Jack Kinney"/>
              <i n="[Director_Unpacked].[director].&amp;[Jack Speirs]" c="Jack Speirs"/>
              <i n="[Director_Unpacked].[director].&amp;[Jacob Cobi Benattia]" c="Jacob Cobi Benattia"/>
              <i n="[Director_Unpacked].[director].&amp;[Jacques Perrin]" c="Jacques Perrin"/>
              <i n="[Director_Unpacked].[director].&amp;[James Algar]" c="James Algar"/>
              <i n="[Director_Unpacked].[director].&amp;[James Bobin]" c="James Bobin"/>
              <i n="[Director_Unpacked].[director].&amp;[James Cameron]" c="James Cameron"/>
              <i n="[Director_Unpacked].[director].&amp;[James Frawley]" c="James Frawley"/>
              <i n="[Director_Unpacked].[director].&amp;[James Gartner]" c="James Gartner"/>
              <i n="[Director_Unpacked].[director].&amp;[James Gunn]" c="James Gunn"/>
              <i n="[Director_Unpacked].[director].&amp;[James Hayman]" c="James Hayman"/>
              <i n="[Director_Unpacked].[director].&amp;[James Lapine]" c="James Lapine"/>
              <i n="[Director_Unpacked].[director].&amp;[James Murphy]" c="James Murphy"/>
              <i n="[Director_Unpacked].[director].&amp;[James Neilson]" c="James Neilson"/>
              <i n="[Director_Unpacked].[director].&amp;[James Orr]" c="James Orr"/>
              <i n="[Director_Unpacked].[director].&amp;[Jan Pinkava]" c="Jan Pinkava"/>
              <i n="[Director_Unpacked].[director].&amp;[Jason Sterman]" c="Jason Sterman"/>
              <i n="[Director_Unpacked].[director].&amp;[Jaume Collet-Serra]" c="Jaume Collet-Serra"/>
              <i n="[Director_Unpacked].[director].&amp;[Jay Hatcher]" c="Jay Hatcher"/>
              <i n="[Director_Unpacked].[director].&amp;[Jay Karas]" c="Jay Karas"/>
              <i n="[Director_Unpacked].[director].&amp;[Jay Russell]" c="Jay Russell"/>
              <i n="[Director_Unpacked].[director].&amp;[Jeff Blyth]" c="Jeff Blyth"/>
              <i n="[Director_Unpacked].[director].&amp;[Jeff Calhoun]" c="Jeff Calhoun"/>
              <i n="[Director_Unpacked].[director].&amp;[Jeff Gipson]" c="Jeff Gipson"/>
              <i n="[Director_Unpacked].[director].&amp;[Jeff Gordon]" c="Jeff Gordon"/>
              <i n="[Director_Unpacked].[director].&amp;[Jeffrey Hornaday]" c="Jeffrey Hornaday"/>
              <i n="[Director_Unpacked].[director].&amp;[Jeffrey Sherman]" c="Jeffrey Sherman"/>
              <i n="[Director_Unpacked].[director].&amp;[Jenny Kubo]" c="Jenny Kubo"/>
              <i n="[Director_Unpacked].[director].&amp;[Jeremiah Chechik]" c="Jeremiah Chechik"/>
              <i n="[Director_Unpacked].[director].&amp;[Jeremy Kagan]" c="Jeremy Kagan"/>
              <i n="[Director_Unpacked].[director].&amp;[Jeremy Lasky]" c="Jeremy Lasky"/>
              <i n="[Director_Unpacked].[director].&amp;[Jeremy Turner]" c="Jeremy Turner"/>
              <i n="[Director_Unpacked].[director].&amp;[Jessica Mendez Siqeiros]" c="Jessica Mendez Siqeiros"/>
              <i n="[Director_Unpacked].[director].&amp;[Jim Abrahams]" c="Jim Abrahams"/>
              <i n="[Director_Unpacked].[director].&amp;[Jim Aikman]" c="Jim Aikman"/>
              <i n="[Director_Unpacked].[director].&amp;[Jim Capobianco]" c="Jim Capobianco"/>
              <i n="[Director_Unpacked].[director].&amp;[Jim Fall]" c="Jim Fall"/>
              <i n="[Director_Unpacked].[director].&amp;[Jim Greayer]" c="Jim Greayer"/>
              <i n="[Director_Unpacked].[director].&amp;[Jim Henson]" c="Jim Henson"/>
              <i n="[Director_Unpacked].[director].&amp;[Jim Kammerud]" c="Jim Kammerud"/>
              <i n="[Director_Unpacked].[director].&amp;[Jim Wheat]" c="Jim Wheat"/>
              <i n="[Director_Unpacked].[director].&amp;[Jimmy Hayward]" c="Jimmy Hayward"/>
              <i n="[Director_Unpacked].[director].&amp;[Joachim Rønning]" c="Joachim Rønning"/>
              <i n="[Director_Unpacked].[director].&amp;[Jobim Sampson]" c="Jobim Sampson"/>
              <i n="[Director_Unpacked].[director].&amp;[Joe Camp]" c="Joe Camp"/>
              <i n="[Director_Unpacked].[director].&amp;[Joe Cornish]" c="Joe Cornish"/>
              <i n="[Director_Unpacked].[director].&amp;[Joe Johnston]" c="Joe Johnston"/>
              <i n="[Director_Unpacked].[director].&amp;[Joe Nussbaum]" c="Joe Nussbaum"/>
              <i n="[Director_Unpacked].[director].&amp;[John Cherry]" c="John Cherry"/>
              <i n="[Director_Unpacked].[director].&amp;[John Gleim]" c="John Gleim"/>
              <i n="[Director_Unpacked].[director].&amp;[John Hancock]" c="John Hancock"/>
              <i n="[Director_Unpacked].[director].&amp;[John Hoffman]" c="John Hoffman"/>
              <i n="[Director_Unpacked].[director].&amp;[John Hough]" c="John Hough"/>
              <i n="[Director_Unpacked].[director].&amp;[John Kafka]" c="John Kafka"/>
              <i n="[Director_Unpacked].[director].&amp;[John Kahrs]" c="John Kahrs"/>
              <i n="[Director_Unpacked].[director].&amp;[John Korty]" c="John Korty"/>
              <i n="[Director_Unpacked].[director].&amp;[John Laing]" c="John Laing"/>
              <i n="[Director_Unpacked].[director].&amp;[John Lasseter]" c="John Lasseter"/>
              <i n="[Director_Unpacked].[director].&amp;[John Murlowski]" c="John Murlowski"/>
              <i n="[Director_Unpacked].[director].&amp;[John Musker]" c="John Musker"/>
              <i n="[Director_Unpacked].[director].&amp;[John Pasquin]" c="John Pasquin"/>
              <i n="[Director_Unpacked].[director].&amp;[John Schultz]" c="John Schultz"/>
              <i n="[Director_Unpacked].[director].&amp;[John Tracy]" c="John Tracy"/>
              <i n="[Director_Unpacked].[director].&amp;[Jon Favreau]" c="Jon Favreau"/>
              <i n="[Director_Unpacked].[director].&amp;[Jon Long]" c="Jon Long"/>
              <i n="[Director_Unpacked].[director].&amp;[Jon Turteltaub]" c="Jon Turteltaub"/>
              <i n="[Director_Unpacked].[director].&amp;[Jonathan Prince]" c="Jonathan Prince"/>
              <i n="[Director_Unpacked].[director].&amp;[Jorge R. Gutiérrez]" c="Jorge R. Gutiérrez"/>
              <i n="[Director_Unpacked].[director].&amp;[Josh Boone]" c="Josh Boone"/>
              <i n="[Director_Unpacked].[director].&amp;[Josh Cooley]" c="Josh Cooley"/>
              <i n="[Director_Unpacked].[director].&amp;[Joss Whedon]" c="Joss Whedon"/>
              <i n="[Director_Unpacked].[director].&amp;[Joyce Chopra]" c="Joyce Chopra"/>
              <i n="[Director_Unpacked].[director].&amp;[Julia Hart]" c="Julia Hart"/>
              <i n="[Director_Unpacked].[director].&amp;[Julia Reagan]" c="Julia Reagan"/>
              <i n="[Director_Unpacked].[director].&amp;[Julie Robinson]" c="Julie Robinson"/>
              <i n="[Director_Unpacked].[director].&amp;[Jun Falkenstein]" c="Jun Falkenstein"/>
              <i n="[Director_Unpacked].[director].&amp;[Justin Baldoni]" c="Justin Baldoni"/>
              <i n="[Director_Unpacked].[director].&amp;[Karen Disher]" c="Karen Disher"/>
              <i n="[Director_Unpacked].[director].&amp;[Karl Geurs]" c="Karl Geurs"/>
              <i n="[Director_Unpacked].[director].&amp;[Kathleen Marshall]" c="Kathleen Marshall"/>
              <i n="[Director_Unpacked].[director].&amp;[Katie Bauer Murdock]" c="Katie Bauer Murdock"/>
              <i n="[Director_Unpacked].[director].&amp;[Keith Scholey]" c="Keith Scholey"/>
              <i n="[Director_Unpacked].[director].&amp;[Kelly Asbury]" c="Kelly Asbury"/>
              <i n="[Director_Unpacked].[director].&amp;[Kelsey Mann]" c="Kelsey Mann"/>
              <i n="[Director_Unpacked].[director].&amp;[Ken Annakin]" c="Ken Annakin"/>
              <i n="[Director_Unpacked].[director].&amp;[Ken Cameron]" c="Ken Cameron"/>
              <i n="[Director_Unpacked].[director].&amp;[Ken Corben]" c="Ken Corben"/>
              <i n="[Director_Unpacked].[director].&amp;[Ken Cunningham]" c="Ken Cunningham"/>
              <i n="[Director_Unpacked].[director].&amp;[Ken Olin]" c="Ken Olin"/>
              <i n="[Director_Unpacked].[director].&amp;[Kenneth Branagh]" c="Kenneth Branagh"/>
              <i n="[Director_Unpacked].[director].&amp;[Kenneth Johnson]" c="Kenneth Johnson"/>
              <i n="[Director_Unpacked].[director].&amp;[Kenny Ortega]" c="Kenny Ortega"/>
              <i n="[Director_Unpacked].[director].&amp;[Kenny Scott]" c="Kenny Scott"/>
              <i n="[Director_Unpacked].[director].&amp;[Kentaro Takayanagi]" c="Kentaro Takayanagi"/>
              <i n="[Director_Unpacked].[director].&amp;[Kevin Bachar]" c="Kevin Bachar"/>
              <i n="[Director_Unpacked].[director].&amp;[Kevin Deters]" c="Kevin Deters"/>
              <i n="[Director_Unpacked].[director].&amp;[Kevin Hooks]" c="Kevin Hooks"/>
              <i n="[Director_Unpacked].[director].&amp;[Kevin Lima]" c="Kevin Lima"/>
              <i n="[Director_Unpacked].[director].&amp;[Kevin Nolting]" c="Kevin Nolting"/>
              <i n="[Director_Unpacked].[director].&amp;[Kirk R. Thatcher]" c="Kirk R. Thatcher"/>
              <i n="[Director_Unpacked].[director].&amp;[Kirk Thatcher]" c="Kirk Thatcher"/>
              <i n="[Director_Unpacked].[director].&amp;[Klay Hall]" c="Klay Hall"/>
              <i n="[Director_Unpacked].[director].&amp;[Kristen Lester]" c="Kristen Lester"/>
              <i n="[Director_Unpacked].[director].&amp;[Kurt Mattila]" c="Kurt Mattila"/>
              <i n="[Director_Unpacked].[director].&amp;[Larry Lansburgh]" c="Larry Lansburgh"/>
              <i n="[Director_Unpacked].[director].&amp;[Larry Shaw]" c="Larry Shaw"/>
              <i n="[Director_Unpacked].[director].&amp;[Lasse Hallström]" c="Lasse Hallström"/>
              <i n="[Director_Unpacked].[director].&amp;[Lauren MacMullan]" c="Lauren MacMullan"/>
              <i n="[Director_Unpacked].[director].&amp;[Lee Unkrich]" c="Lee Unkrich"/>
              <i n="[Director_Unpacked].[director].&amp;[Lena Khan]" c="Lena Khan"/>
              <i n="[Director_Unpacked].[director].&amp;[Leo Matsuda]" c="Leo Matsuda"/>
              <i n="[Director_Unpacked].[director].&amp;[Leo Riley]" c="Leo Riley"/>
              <i n="[Director_Unpacked].[director].&amp;[Leonard Nimoy]" c="Leonard Nimoy"/>
              <i n="[Director_Unpacked].[director].&amp;[Les Mayfield]" c="Les Mayfield"/>
              <i n="[Director_Unpacked].[director].&amp;[Leslie Iwerks]" c="Leslie Iwerks"/>
              <i n="[Director_Unpacked].[director].&amp;[Lev L. Spiro]" c="Lev L. Spiro"/>
              <i n="[Director_Unpacked].[director].&amp;[Lev Spiro]" c="Lev Spiro"/>
              <i n="[Director_Unpacked].[director].&amp;[LeVar Burton]" c="LeVar Burton"/>
              <i n="[Director_Unpacked].[director].&amp;[Lewis Foster]" c="Lewis Foster"/>
              <i n="[Director_Unpacked].[director].&amp;[Liliana Olszewski]" c="Liliana Olszewski"/>
              <i n="[Director_Unpacked].[director].&amp;[Liz Garbus]" c="Liz Garbus"/>
              <i n="[Director_Unpacked].[director].&amp;[Louie Schwartzberg]" c="Louie Schwartzberg"/>
              <i n="[Director_Unpacked].[director].&amp;[Louis Gonzales]" c="Louis Gonzales"/>
              <i n="[Director_Unpacked].[director].&amp;[Lu Chuan]" c="Lu Chuan"/>
              <i n="[Director_Unpacked].[director].&amp;[Luc Marescot]" c="Luc Marescot"/>
              <i n="[Director_Unpacked].[director].&amp;[Madeline Sharafian]" c="Madeline Sharafian"/>
              <i n="[Director_Unpacked].[director].&amp;[Maggie Greenwald]" c="Maggie Greenwald"/>
              <i n="[Director_Unpacked].[director].&amp;[Manjari Makijany]" c="Manjari Makijany"/>
              <i n="[Director_Unpacked].[director].&amp;[Manny Coto]" c="Manny Coto"/>
              <i n="[Director_Unpacked].[director].&amp;[Marc Forster]" c="Marc Forster"/>
              <i n="[Director_Unpacked].[director].&amp;[Marc Lawrence]" c="Marc Lawrence"/>
              <i n="[Director_Unpacked].[director].&amp;[Mark Andrews]" c="Mark Andrews"/>
              <i n="[Director_Unpacked].[director].&amp;[Mark Davis]" c="Mark Davis"/>
              <i n="[Director_Unpacked].[director].&amp;[Mark Dindal]" c="Mark Dindal"/>
              <i n="[Director_Unpacked].[director].&amp;[Mark Dippé]" c="Mark Dippé"/>
              <i n="[Director_Unpacked].[director].&amp;[Mark J Davis]" c="Mark J Davis"/>
              <i n="[Director_Unpacked].[director].&amp;[Mark Linfield]" c="Mark Linfield"/>
              <i n="[Director_Unpacked].[director].&amp;[Mark Monroe]" c="Mark Monroe"/>
              <i n="[Director_Unpacked].[director].&amp;[Mark Taylor]" c="Mark Taylor"/>
              <i n="[Director_Unpacked].[director].&amp;[Mark Walsh]" c="Mark Walsh"/>
              <i n="[Director_Unpacked].[director].&amp;[Mark Waring]" c="Mark Waring"/>
              <i n="[Director_Unpacked].[director].&amp;[Mark Waters]" c="Mark Waters"/>
              <i n="[Director_Unpacked].[director].&amp;[Mark Woodward]" c="Mark Woodward"/>
              <i n="[Director_Unpacked].[director].&amp;[Martin Johnson]" c="Martin Johnson"/>
              <i n="[Director_Unpacked].[director].&amp;[Martin Roe]" c="Martin Roe"/>
              <i n="[Director_Unpacked].[director].&amp;[Mary Lambert]" c="Mary Lambert"/>
              <i n="[Director_Unpacked].[director].&amp;[Matthew Aeberhard]" c="Matthew Aeberhard"/>
              <i n="[Director_Unpacked].[director].&amp;[Matthew Diamond]" c="Matthew Diamond"/>
              <i n="[Director_Unpacked].[director].&amp;[Matthew O'Callaghan]" c="Matthew O'Callaghan"/>
              <i n="[Director_Unpacked].[director].&amp;[Matthew Vaughn]" c="Matthew Vaughn"/>
              <i n="[Director_Unpacked].[director].&amp;[Maurice Joyce]" c="Maurice Joyce"/>
              <i n="[Director_Unpacked].[director].&amp;[McKenna Harris]" c="McKenna Harris"/>
              <i n="[Director_Unpacked].[director].&amp;[Michael Apted]" c="Michael Apted"/>
              <i n="[Director_Unpacked].[director].&amp;[Michael Gottlieb]" c="Michael Gottlieb"/>
              <i n="[Director_Unpacked].[director].&amp;[Michael Gracey]" c="Michael Gracey"/>
              <i n="[Director_Unpacked].[director].&amp;[Michael Grossman]" c="Michael Grossman"/>
              <i n="[Director_Unpacked].[director].&amp;[Michael Hegner]" c="Michael Hegner"/>
              <i n="[Director_Unpacked].[director].&amp;[Michael Lange]" c="Michael Lange"/>
              <i n="[Director_Unpacked].[director].&amp;[Michael Lembeck]" c="Michael Lembeck"/>
              <i n="[Director_Unpacked].[director].&amp;[Michael Mayer]" c="Michael Mayer"/>
              <i n="[Director_Unpacked].[director].&amp;[Michael Switzer]" c="Michael Switzer"/>
              <i n="[Director_Unpacked].[director].&amp;[Michal Makarewicz]" c="Michal Makarewicz"/>
              <i n="[Director_Unpacked].[director].&amp;[Mick Garris]" c="Mick Garris"/>
              <i n="[Director_Unpacked].[director].&amp;[Miguel Arteta]" c="Miguel Arteta"/>
              <i n="[Director_Unpacked].[director].&amp;[Mike Gabriel]" c="Mike Gabriel"/>
              <i n="[Director_Unpacked].[director].&amp;[Mike Mitchell]" c="Mike Mitchell"/>
              <i n="[Director_Unpacked].[director].&amp;[Mike Newell]" c="Mike Newell"/>
              <i n="[Director_Unpacked].[director].&amp;[Mike Slee]" c="Mike Slee"/>
              <i n="[Director_Unpacked].[director].&amp;[Mike Thurmeier]" c="Mike Thurmeier"/>
              <i n="[Director_Unpacked].[director].&amp;[Milt Schaffer]" c="Milt Schaffer"/>
              <i n="[Director_Unpacked].[director].&amp;[Mira Nair]" c="Mira Nair"/>
              <i n="[Director_Unpacked].[director].&amp;[Molly Hermann]" c="Molly Hermann"/>
              <i n="[Director_Unpacked].[director].&amp;[Monfery Dominique]" c="Monfery Dominique"/>
              <i n="[Director_Unpacked].[director].&amp;[Moritz Katz]" c="Moritz Katz"/>
              <i n="[Director_Unpacked].[director].&amp;[Moxie Peng]" c="Moxie Peng"/>
              <i n="[Director_Unpacked].[director].&amp;[N. Paul Kenworthy]" c="N. Paul Kenworthy"/>
              <i n="[Director_Unpacked].[director].&amp;[Nancy Meyers]" c="Nancy Meyers"/>
              <i n="[Director_Unpacked].[director].&amp;[Napoleon Dumo]" c="Napoleon Dumo"/>
              <i n="[Director_Unpacked].[director].&amp;[Natalie Hewit]" c="Natalie Hewit"/>
              <i n="[Director_Unpacked].[director].&amp;[Nathan Greno]" c="Nathan Greno"/>
              <i n="[Director_Unpacked].[director].&amp;[Neal Israel]" c="Neal Israel"/>
              <i n="[Director_Unpacked].[director].&amp;[Neil Gelinas]" c="Neil Gelinas"/>
              <i n="[Director_Unpacked].[director].&amp;[Nick Castle]" c="Nick Castle"/>
              <i n="[Director_Unpacked].[director].&amp;[Nick Marck]" c="Nick Marck"/>
              <i n="[Director_Unpacked].[director].&amp;[Niki Caro]" c="Niki Caro"/>
              <i n="[Director_Unpacked].[director].&amp;[Nils Gaup]" c="Nils Gaup"/>
              <i n="[Director_Unpacked].[director].&amp;[Norman Ferguson]" c="Norman Ferguson"/>
              <i n="[Director_Unpacked].[director].&amp;[Norman Foster]" c="Norman Foster"/>
              <i n="[Director_Unpacked].[director].&amp;[Norman Tokar]" c="Norman Tokar"/>
              <i n="[Director_Unpacked].[director].&amp;[Oz Scott]" c="Oz Scott"/>
              <i n="[Director_Unpacked].[director].&amp;[P.J. Hogan]" c="P.J. Hogan"/>
              <i n="[Director_Unpacked].[director].&amp;[Patricia Riggen]" c="Patricia Riggen"/>
              <i n="[Director_Unpacked].[director].&amp;[Patrick Osborne]" c="Patrick Osborne"/>
              <i n="[Director_Unpacked].[director].&amp;[Patrick Read Johnson]" c="Patrick Read Johnson"/>
              <i n="[Director_Unpacked].[director].&amp;[Paul Glaser]" c="Paul Glaser"/>
              <i n="[Director_Unpacked].[director].&amp;[Paul Hoen]" c="Paul Hoen"/>
              <i n="[Director_Unpacked].[director].&amp;[Paul Schneider]" c="Paul Schneider"/>
              <i n="[Director_Unpacked].[director].&amp;[Peggy Holmes]" c="Peggy Holmes"/>
              <i n="[Director_Unpacked].[director].&amp;[Pete Docter]" c="Pete Docter"/>
              <i n="[Director_Unpacked].[director].&amp;[Pete McBride]" c="Pete McBride"/>
              <i n="[Director_Unpacked].[director].&amp;[Peter Chelsom]" c="Peter Chelsom"/>
              <i n="[Director_Unpacked].[director].&amp;[Peter DeLuise]" c="Peter DeLuise"/>
              <i n="[Director_Unpacked].[director].&amp;[Peter Hastings]" c="Peter Hastings"/>
              <i n="[Director_Unpacked].[director].&amp;[Peter Hedges]" c="Peter Hedges"/>
              <i n="[Director_Unpacked].[director].&amp;[Peter Hewitt]" c="Peter Hewitt"/>
              <i n="[Director_Unpacked].[director].&amp;[Peter Sohn]" c="Peter Sohn"/>
              <i n="[Director_Unpacked].[director].&amp;[Peter Tewksbury]" c="Peter Tewksbury"/>
              <i n="[Director_Unpacked].[director].&amp;[Peter Yost]" c="Peter Yost"/>
              <i n="[Director_Unpacked].[director].&amp;[Peyton Reed]" c="Peyton Reed"/>
              <i n="[Director_Unpacked].[director].&amp;[Phil Stebbing]" c="Phil Stebbing"/>
              <i n="[Director_Unpacked].[director].&amp;[Phillip Borsos]" c="Phillip Borsos"/>
              <i n="[Director_Unpacked].[director].&amp;[Pixote Hunt]" c="Pixote Hunt"/>
              <i n="[Director_Unpacked].[director].&amp;[Raja Gosnell]" c="Raja Gosnell"/>
              <i n="[Director_Unpacked].[director].&amp;[Ralph Eggleston]" c="Ralph Eggleston"/>
              <i n="[Director_Unpacked].[director].&amp;[Ralph Hemecker]" c="Ralph Hemecker"/>
              <i n="[Director_Unpacked].[director].&amp;[Ralph Zondag]" c="Ralph Zondag"/>
              <i n="[Director_Unpacked].[director].&amp;[Ramon Menendez]" c="Ramon Menendez"/>
              <i n="[Director_Unpacked].[director].&amp;[Randal Kleiser]" c="Randal Kleiser"/>
              <i n="[Director_Unpacked].[director].&amp;[Randall Wallace]" c="Randall Wallace"/>
              <i n="[Director_Unpacked].[director].&amp;[Reginald Hudlin]" c="Reginald Hudlin"/>
              <i n="[Director_Unpacked].[director].&amp;[Renan Ozturk]" c="Renan Ozturk"/>
              <i n="[Director_Unpacked].[director].&amp;[Rian Johnson]" c="Rian Johnson"/>
              <i n="[Director_Unpacked].[director].&amp;[Ricardo Curtis]" c="Ricardo Curtis"/>
              <i n="[Director_Unpacked].[director].&amp;[Rich Moore]" c="Rich Moore"/>
              <i n="[Director_Unpacked].[director].&amp;[Richard Fleischer]" c="Richard Fleischer"/>
              <i n="[Director_Unpacked].[director].&amp;[Richard Marquand]" c="Richard Marquand"/>
              <i n="[Director_Unpacked].[director].&amp;[Riley Thomas]" c="Riley Thomas"/>
              <i n="[Director_Unpacked].[director].&amp;[Riley Thomson]" c="Riley Thomson"/>
              <i n="[Director_Unpacked].[director].&amp;[Rob Gibbs]" c="Rob Gibbs"/>
              <i n="[Director_Unpacked].[director].&amp;[Rob Marshall]" c="Rob Marshall"/>
              <i n="[Director_Unpacked].[director].&amp;[Rob Minkoff]" c="Rob Minkoff"/>
              <i n="[Director_Unpacked].[director].&amp;[Rob Reiner]" c="Rob Reiner"/>
              <i n="[Director_Unpacked].[director].&amp;[Robert Butler]" c="Robert Butler"/>
              <i n="[Director_Unpacked].[director].&amp;[Robert Hughes]" c="Robert Hughes"/>
              <i n="[Director_Unpacked].[director].&amp;[Robert Iscove]" c="Robert Iscove"/>
              <i n="[Director_Unpacked].[director].&amp;[Robert Lieberman]" c="Robert Lieberman"/>
              <i n="[Director_Unpacked].[director].&amp;[Robert Nixon]" c="Robert Nixon"/>
              <i n="[Director_Unpacked].[director].&amp;[Robert Ramirez]" c="Robert Ramirez"/>
              <i n="[Director_Unpacked].[director].&amp;[Robert Rodriguez]" c="Robert Rodriguez"/>
              <i n="[Director_Unpacked].[director].&amp;[Robert Stevenson]" c="Robert Stevenson"/>
              <i n="[Director_Unpacked].[director].&amp;[Robert Stromberg]" c="Robert Stromberg"/>
              <i n="[Director_Unpacked].[director].&amp;[Robert Townsend]" c="Robert Townsend"/>
              <i n="[Director_Unpacked].[director].&amp;[Robert Vince]" c="Robert Vince"/>
              <i n="[Director_Unpacked].[director].&amp;[Robert Wise]" c="Robert Wise"/>
              <i n="[Director_Unpacked].[director].&amp;[Robert Zemeckis]" c="Robert Zemeckis"/>
              <i n="[Director_Unpacked].[director].&amp;[Roberts Gannaway]" c="Roberts Gannaway"/>
              <i n="[Director_Unpacked].[director].&amp;[Robin Budd]" c="Robin Budd"/>
              <i n="[Director_Unpacked].[director].&amp;[Rod Daniel]" c="Rod Daniel"/>
              <i n="[Director_Unpacked].[director].&amp;[Roger Allers]" c="Roger Allers"/>
              <i n="[Director_Unpacked].[director].&amp;[Roger Kumble]" c="Roger Kumble"/>
              <i n="[Director_Unpacked].[director].&amp;[Ron Clements]" c="Ron Clements"/>
              <i n="[Director_Unpacked].[director].&amp;[Ron de Moraes]" c="Ron de Moraes"/>
              <i n="[Director_Unpacked].[director].&amp;[Ron Howard]" c="Ron Howard"/>
              <i n="[Director_Unpacked].[director].&amp;[Ron Lagomarsino]" c="Ron Lagomarsino"/>
              <i n="[Director_Unpacked].[director].&amp;[Ron Underwood]" c="Ron Underwood"/>
              <i n="[Director_Unpacked].[director].&amp;[Ronnie Del Carmen]" c="Ronnie Del Carmen"/>
              <i n="[Director_Unpacked].[director].&amp;[Rosana Sullivan]" c="Rosana Sullivan"/>
              <i n="[Director_Unpacked].[director].&amp;[Rupert Wainwright]" c="Rupert Wainwright"/>
              <i n="[Director_Unpacked].[director].&amp;[Russ Mayberry]" c="Russ Mayberry"/>
              <i n="[Director_Unpacked].[director].&amp;[Ryan Coogler]" c="Ryan Coogler"/>
              <i n="[Director_Unpacked].[director].&amp;[Sally Aitken]" c="Sally Aitken"/>
              <i n="[Director_Unpacked].[director].&amp;[Salvador Simó]" c="Salvador Simó"/>
              <i n="[Director_Unpacked].[director].&amp;[Sam Weisman]" c="Sam Weisman"/>
              <i n="[Director_Unpacked].[director].&amp;[Samuel Armstrong]" c="Samuel Armstrong"/>
              <i n="[Director_Unpacked].[director].&amp;[Sanjay Patel]" c="Sanjay Patel"/>
              <i n="[Director_Unpacked].[director].&amp;[Sara Sugarman]" c="Sara Sugarman"/>
              <i n="[Director_Unpacked].[director].&amp;[Saschka Unseld]" c="Saschka Unseld"/>
              <i n="[Director_Unpacked].[director].&amp;[Savage Holland]" c="Savage Holland"/>
              <i n="[Director_Unpacked].[director].&amp;[Scott Derrickson]" c="Scott Derrickson"/>
              <i n="[Director_Unpacked].[director].&amp;[Scott Ressler]" c="Scott Ressler"/>
              <i n="[Director_Unpacked].[director].&amp;[Sean McNamara]" c="Sean McNamara"/>
              <i n="[Director_Unpacked].[director].&amp;[Shane Black]" c="Shane Black"/>
              <i n="[Director_Unpacked].[director].&amp;[Sharon Maguire]" c="Sharon Maguire"/>
              <i n="[Director_Unpacked].[director].&amp;[Shawn Levy]" c="Shawn Levy"/>
              <i n="[Director_Unpacked].[director].&amp;[Sidney Beaumont]" c="Sidney Beaumont"/>
              <i n="[Director_Unpacked].[director].&amp;[Sigmund Spath Jr.]" c="Sigmund Spath Jr."/>
              <i n="[Director_Unpacked].[director].&amp;[Simcha Jacobovici]" c="Simcha Jacobovici"/>
              <i n="[Director_Unpacked].[director].&amp;[Simon Kinberg]" c="Simon Kinberg"/>
              <i n="[Director_Unpacked].[director].&amp;[Simon Wells]" c="Simon Wells"/>
              <i n="[Director_Unpacked].[director].&amp;[Simon Wincer]" c="Simon Wincer"/>
              <i n="[Director_Unpacked].[director].&amp;[Sol Choi]" c="Sol Choi"/>
              <i n="[Director_Unpacked].[director].&amp;[Sophie Harris]" c="Sophie Harris"/>
              <i n="[Director_Unpacked].[director].&amp;[Stanley Tong]" c="Stanley Tong"/>
              <i n="[Director_Unpacked].[director].&amp;[Stefen Fangmeier]" c="Stefen Fangmeier"/>
              <i n="[Director_Unpacked].[director].&amp;[Stephanie Abel Horowitz]" c="Stephanie Abel Horowitz"/>
              <i n="[Director_Unpacked].[director].&amp;[Stephen Anderson]" c="Stephen Anderson"/>
              <i n="[Director_Unpacked].[director].&amp;[Stephen Boyum]" c="Stephen Boyum"/>
              <i n="[Director_Unpacked].[director].&amp;[Stephen Herek]" c="Stephen Herek"/>
              <i n="[Director_Unpacked].[director].&amp;[Stephen Sommers]" c="Stephen Sommers"/>
              <i n="[Director_Unpacked].[director].&amp;[Steve Boyum]" c="Steve Boyum"/>
              <i n="[Director_Unpacked].[director].&amp;[Steve Loter]" c="Steve Loter"/>
              <i n="[Director_Unpacked].[director].&amp;[Steve Martino]" c="Steve Martino"/>
              <i n="[Director_Unpacked].[director].&amp;[Steve Miner]" c="Steve Miner"/>
              <i n="[Director_Unpacked].[director].&amp;[Steve Previn]" c="Steve Previn"/>
              <i n="[Director_Unpacked].[director].&amp;[Steve Purcell]" c="Steve Purcell"/>
              <i n="[Director_Unpacked].[director].&amp;[Steve Rash]" c="Steve Rash"/>
              <i n="[Director_Unpacked].[director].&amp;[Steve Trenbirth]" c="Steve Trenbirth"/>
              <i n="[Director_Unpacked].[director].&amp;[Steve Williams]" c="Steve Williams"/>
              <i n="[Director_Unpacked].[director].&amp;[Steven Brill]" c="Steven Brill"/>
              <i n="[Director_Unpacked].[director].&amp;[Steven Hunter]" c="Steven Hunter"/>
              <i n="[Director_Unpacked].[director].&amp;[Steven Lisberger]" c="Steven Lisberger"/>
              <i n="[Director_Unpacked].[director].&amp;[Steven Tsuchida]" c="Steven Tsuchida"/>
              <i n="[Director_Unpacked].[director].&amp;[Stevie Wermers-Skelton]" c="Stevie Wermers-Skelton"/>
              <i n="[Director_Unpacked].[director].&amp;[Stuart Gillard]" c="Stuart Gillard"/>
              <i n="[Director_Unpacked].[director].&amp;[Stuart Strickson]" c="Stuart Strickson"/>
              <i n="[Director_Unpacked].[director].&amp;[Tad Stones]" c="Tad Stones"/>
              <i n="[Director_Unpacked].[director].&amp;[Taika Waititi]" c="Taika Waititi"/>
              <i n="[Director_Unpacked].[director].&amp;[Ted Berman]" c="Ted Berman"/>
              <i n="[Director_Unpacked].[director].&amp;[Ted Mathot]" c="Ted Mathot"/>
              <i n="[Director_Unpacked].[director].&amp;[Teddy Newton]" c="Teddy Newton"/>
              <i n="[Director_Unpacked].[director].&amp;[Thea Sharrock]" c="Thea Sharrock"/>
              <i n="[Director_Unpacked].[director].&amp;[Theodore Melfi]" c="Theodore Melfi"/>
              <i n="[Director_Unpacked].[director].&amp;[Theodore Thomas]" c="Theodore Thomas"/>
              <i n="[Director_Unpacked].[director].&amp;[Thierry Fessard]" c="Thierry Fessard"/>
              <i n="[Director_Unpacked].[director].&amp;[Thomas Astruc]" c="Thomas Astruc"/>
              <i n="[Director_Unpacked].[director].&amp;[Thomas Grane]" c="Thomas Grane"/>
              <i n="[Director_Unpacked].[director].&amp;[Thomas Kail]" c="Thomas Kail"/>
              <i n="[Director_Unpacked].[director].&amp;[Thor Freudenthal]" c="Thor Freudenthal"/>
              <i n="[Director_Unpacked].[director].&amp;[Tim Burton]" c="Tim Burton"/>
              <i n="[Director_Unpacked].[director].&amp;[Tim Conrad]" c="Tim Conrad"/>
              <i n="[Director_Unpacked].[director].&amp;[Tim Fywell]" c="Tim Fywell"/>
              <i n="[Director_Unpacked].[director].&amp;[Tim Hill]" c="Tim Hill"/>
              <i n="[Director_Unpacked].[director].&amp;[Tim Story]" c="Tim Story"/>
              <i n="[Director_Unpacked].[director].&amp;[Timothy Björklund]" c="Timothy Björklund"/>
              <i n="[Director_Unpacked].[director].&amp;[Toby Shelton]" c="Toby Shelton"/>
              <i n="[Director_Unpacked].[director].&amp;[Tom Caulfield]" c="Tom Caulfield"/>
              <i n="[Director_Unpacked].[director].&amp;[Tom Jennings]" c="Tom Jennings"/>
              <i n="[Director_Unpacked].[director].&amp;[Tom McCarthy]" c="Tom McCarthy"/>
              <i n="[Director_Unpacked].[director].&amp;[Tony Craig]" c="Tony Craig"/>
              <i n="[Director_Unpacked].[director].&amp;[Tony Leondis]" c="Tony Leondis"/>
              <i n="[Director_Unpacked].[director].&amp;[Trevor Moore]" c="Trevor Moore"/>
              <i n="[Director_Unpacked].[director].&amp;[Unknown Director]" c="Unknown Director"/>
              <i n="[Director_Unpacked].[director].&amp;[Valerie LaPointe]" c="Valerie LaPointe"/>
              <i n="[Director_Unpacked].[director].&amp;[Vanessa Berlowitz]" c="Vanessa Berlowitz"/>
              <i n="[Director_Unpacked].[director].&amp;[Victor Gonzalez]" c="Victor Gonzalez"/>
              <i n="[Director_Unpacked].[director].&amp;[Vincent McEveety]" c="Vincent McEveety"/>
              <i n="[Director_Unpacked].[director].&amp;[Walt Becker]" c="Walt Becker"/>
              <i n="[Director_Unpacked].[director].&amp;[Walt Disney]" c="Walt Disney"/>
              <i n="[Director_Unpacked].[director].&amp;[Walter Murch]" c="Walter Murch"/>
              <i n="[Director_Unpacked].[director].&amp;[Ward Kimball]" c="Ward Kimball"/>
              <i n="[Director_Unpacked].[director].&amp;[Wayne Abbott]" c="Wayne Abbott"/>
              <i n="[Director_Unpacked].[director].&amp;[Wayne Wang]" c="Wayne Wang"/>
              <i n="[Director_Unpacked].[director].&amp;[Wes Anderson]" c="Wes Anderson"/>
              <i n="[Director_Unpacked].[director].&amp;[Wes Craven]" c="Wes Craven"/>
              <i n="[Director_Unpacked].[director].&amp;[Wilfred Jackson]" c="Wilfred Jackson"/>
              <i n="[Director_Unpacked].[director].&amp;[Wilfred Jaxon]" c="Wilfred Jaxon"/>
              <i n="[Director_Unpacked].[director].&amp;[Will Finn]" c="Will Finn"/>
              <i n="[Director_Unpacked].[director].&amp;[William Dear]" c="William Dear"/>
              <i n="[Director_Unpacked].[director].&amp;[Wolfgang Reitherman]" c="Wolfgang Reitherman"/>
              <i n="[Director_Unpacked].[director].&amp;[Xavier Koller]" c="Xavier Koller"/>
              <i n="[Director_Unpacked].[director].&amp;[Zach A. Parrish]" c="Zach A. Parrish"/>
              <i n="[Director_Unpacked].[director].&amp;[Zak Knutson]" c="Zak Knutson"/>
              <i n="[Director_Unpacked].[director].&amp;[Zhong Yu]" c="Zhong Yu"/>
              <i n="[Director_Unpacked].[director].&amp;[朱家欣]" c="朱家欣"/>
            </range>
          </ranges>
        </level>
      </levels>
      <selections count="1">
        <selection n="[Director_Unpacked].[director].&amp;[ Art Steven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rector" xr10:uid="{F25ACD58-29AE-4A9C-87A4-94356C04B7FF}" cache="Slicer_director1" caption="director" level="1" style="Slicer Style 3"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B8431-B0CC-425E-8159-16EF73B79BF5}">
  <dimension ref="A1:N119"/>
  <sheetViews>
    <sheetView rightToLeft="1" zoomScale="96" zoomScaleNormal="96" workbookViewId="0">
      <selection activeCell="F103" sqref="F103"/>
    </sheetView>
  </sheetViews>
  <sheetFormatPr defaultRowHeight="14.25"/>
  <cols>
    <col min="1" max="1" width="13.375" bestFit="1" customWidth="1"/>
    <col min="2" max="2" width="16.875" bestFit="1" customWidth="1"/>
    <col min="3" max="3" width="16.25" bestFit="1" customWidth="1"/>
    <col min="4" max="4" width="9.875" bestFit="1" customWidth="1"/>
    <col min="5" max="5" width="8" bestFit="1" customWidth="1"/>
    <col min="6" max="6" width="12.5" bestFit="1" customWidth="1"/>
    <col min="7" max="7" width="11.375" bestFit="1" customWidth="1"/>
    <col min="8" max="8" width="9.875" bestFit="1" customWidth="1"/>
    <col min="9" max="9" width="16.75" bestFit="1" customWidth="1"/>
    <col min="10" max="10" width="15.375" bestFit="1" customWidth="1"/>
    <col min="11" max="11" width="8" bestFit="1" customWidth="1"/>
    <col min="12" max="12" width="8.25" bestFit="1" customWidth="1"/>
    <col min="13" max="13" width="15.75" bestFit="1" customWidth="1"/>
    <col min="14" max="14" width="13.125" bestFit="1" customWidth="1"/>
    <col min="15" max="15" width="8.5" bestFit="1" customWidth="1"/>
    <col min="16" max="16" width="8.75" bestFit="1" customWidth="1"/>
    <col min="17" max="17" width="9.875" bestFit="1" customWidth="1"/>
    <col min="18" max="18" width="29" bestFit="1" customWidth="1"/>
    <col min="19" max="19" width="12.125" bestFit="1" customWidth="1"/>
    <col min="20" max="20" width="6.25" bestFit="1" customWidth="1"/>
    <col min="21" max="21" width="11.125" bestFit="1" customWidth="1"/>
    <col min="22" max="22" width="9" bestFit="1" customWidth="1"/>
    <col min="23" max="23" width="7.75" bestFit="1" customWidth="1"/>
    <col min="24" max="24" width="9.625" bestFit="1" customWidth="1"/>
    <col min="25" max="25" width="9.5" bestFit="1" customWidth="1"/>
    <col min="26" max="26" width="18.5" bestFit="1" customWidth="1"/>
    <col min="27" max="27" width="8.5" bestFit="1" customWidth="1"/>
    <col min="28" max="28" width="8.75" bestFit="1" customWidth="1"/>
    <col min="29" max="29" width="12.125" bestFit="1" customWidth="1"/>
    <col min="30" max="30" width="9.5" bestFit="1" customWidth="1"/>
    <col min="31" max="31" width="14.125" bestFit="1" customWidth="1"/>
  </cols>
  <sheetData>
    <row r="1" spans="1:2" ht="58.5" customHeight="1">
      <c r="A1" s="21" t="s">
        <v>56</v>
      </c>
    </row>
    <row r="3" spans="1:2">
      <c r="A3" s="1" t="s">
        <v>0</v>
      </c>
      <c r="B3" t="s">
        <v>12</v>
      </c>
    </row>
    <row r="4" spans="1:2">
      <c r="A4" s="2" t="s">
        <v>5</v>
      </c>
      <c r="B4">
        <v>1003</v>
      </c>
    </row>
    <row r="5" spans="1:2">
      <c r="A5" s="2" t="s">
        <v>10</v>
      </c>
      <c r="B5">
        <v>219</v>
      </c>
    </row>
    <row r="6" spans="1:2">
      <c r="A6" s="2" t="s">
        <v>7</v>
      </c>
      <c r="B6">
        <v>30</v>
      </c>
    </row>
    <row r="7" spans="1:2">
      <c r="A7" s="2" t="s">
        <v>3</v>
      </c>
      <c r="B7">
        <v>23</v>
      </c>
    </row>
    <row r="8" spans="1:2">
      <c r="A8" s="2" t="s">
        <v>9</v>
      </c>
      <c r="B8">
        <v>22</v>
      </c>
    </row>
    <row r="9" spans="1:2">
      <c r="A9" s="2" t="s">
        <v>2</v>
      </c>
      <c r="B9">
        <v>17</v>
      </c>
    </row>
    <row r="10" spans="1:2">
      <c r="A10" s="2" t="s">
        <v>4</v>
      </c>
      <c r="B10">
        <v>14</v>
      </c>
    </row>
    <row r="11" spans="1:2">
      <c r="A11" s="2" t="s">
        <v>6</v>
      </c>
      <c r="B11">
        <v>8</v>
      </c>
    </row>
    <row r="12" spans="1:2">
      <c r="A12" s="2" t="s">
        <v>1</v>
      </c>
      <c r="B12">
        <v>5</v>
      </c>
    </row>
    <row r="13" spans="1:2">
      <c r="A13" s="2" t="s">
        <v>8</v>
      </c>
      <c r="B13">
        <v>4</v>
      </c>
    </row>
    <row r="14" spans="1:2">
      <c r="A14" s="2" t="s">
        <v>11</v>
      </c>
      <c r="B14">
        <v>1345</v>
      </c>
    </row>
    <row r="18" spans="1:14" ht="115.5" customHeight="1">
      <c r="A18" s="21" t="s">
        <v>57</v>
      </c>
    </row>
    <row r="20" spans="1:14">
      <c r="A20" s="1" t="s">
        <v>0</v>
      </c>
      <c r="B20" t="s">
        <v>12</v>
      </c>
      <c r="E20" s="4">
        <f>219/1345</f>
        <v>0.16282527881040892</v>
      </c>
      <c r="F20" s="3"/>
    </row>
    <row r="21" spans="1:14">
      <c r="A21" s="2" t="s">
        <v>5</v>
      </c>
      <c r="B21">
        <v>1003</v>
      </c>
      <c r="M21" t="s">
        <v>10</v>
      </c>
      <c r="N21">
        <v>219</v>
      </c>
    </row>
    <row r="22" spans="1:14" ht="15.75" customHeight="1">
      <c r="A22" s="2" t="s">
        <v>10</v>
      </c>
      <c r="B22">
        <v>219</v>
      </c>
      <c r="M22" t="s">
        <v>13</v>
      </c>
      <c r="N22">
        <v>1126</v>
      </c>
    </row>
    <row r="23" spans="1:14">
      <c r="A23" s="2" t="s">
        <v>7</v>
      </c>
      <c r="B23">
        <v>30</v>
      </c>
    </row>
    <row r="24" spans="1:14">
      <c r="A24" s="2" t="s">
        <v>3</v>
      </c>
      <c r="B24">
        <v>23</v>
      </c>
    </row>
    <row r="25" spans="1:14">
      <c r="A25" s="2" t="s">
        <v>9</v>
      </c>
      <c r="B25">
        <v>22</v>
      </c>
    </row>
    <row r="26" spans="1:14">
      <c r="A26" s="2" t="s">
        <v>2</v>
      </c>
      <c r="B26">
        <v>17</v>
      </c>
    </row>
    <row r="27" spans="1:14">
      <c r="A27" s="2" t="s">
        <v>4</v>
      </c>
      <c r="B27">
        <v>14</v>
      </c>
    </row>
    <row r="28" spans="1:14">
      <c r="A28" s="2" t="s">
        <v>6</v>
      </c>
      <c r="B28">
        <v>8</v>
      </c>
    </row>
    <row r="29" spans="1:14">
      <c r="A29" s="2" t="s">
        <v>1</v>
      </c>
      <c r="B29">
        <v>5</v>
      </c>
    </row>
    <row r="30" spans="1:14">
      <c r="A30" s="2" t="s">
        <v>8</v>
      </c>
      <c r="B30">
        <v>4</v>
      </c>
    </row>
    <row r="31" spans="1:14">
      <c r="A31" s="2" t="s">
        <v>11</v>
      </c>
      <c r="B31">
        <v>1345</v>
      </c>
    </row>
    <row r="36" spans="1:2" ht="90.75" customHeight="1">
      <c r="A36" s="21" t="s">
        <v>58</v>
      </c>
    </row>
    <row r="39" spans="1:2">
      <c r="A39" s="1" t="s">
        <v>0</v>
      </c>
      <c r="B39" t="s">
        <v>12</v>
      </c>
    </row>
    <row r="40" spans="1:2">
      <c r="A40" s="2" t="s">
        <v>21</v>
      </c>
      <c r="B40" s="5">
        <v>470</v>
      </c>
    </row>
    <row r="41" spans="1:2">
      <c r="A41" s="2" t="s">
        <v>16</v>
      </c>
      <c r="B41" s="5">
        <v>17</v>
      </c>
    </row>
    <row r="42" spans="1:2">
      <c r="A42" s="2" t="s">
        <v>19</v>
      </c>
      <c r="B42" s="5">
        <v>16</v>
      </c>
    </row>
    <row r="43" spans="1:2">
      <c r="A43" s="2" t="s">
        <v>18</v>
      </c>
      <c r="B43" s="5">
        <v>16</v>
      </c>
    </row>
    <row r="44" spans="1:2">
      <c r="A44" s="2" t="s">
        <v>24</v>
      </c>
      <c r="B44" s="5">
        <v>14</v>
      </c>
    </row>
    <row r="45" spans="1:2">
      <c r="A45" s="2" t="s">
        <v>15</v>
      </c>
      <c r="B45" s="5">
        <v>12</v>
      </c>
    </row>
    <row r="46" spans="1:2">
      <c r="A46" s="2" t="s">
        <v>20</v>
      </c>
      <c r="B46" s="5">
        <v>12</v>
      </c>
    </row>
    <row r="47" spans="1:2">
      <c r="A47" s="2" t="s">
        <v>14</v>
      </c>
      <c r="B47" s="5">
        <v>10</v>
      </c>
    </row>
    <row r="48" spans="1:2">
      <c r="A48" s="2" t="s">
        <v>22</v>
      </c>
      <c r="B48" s="5">
        <v>10</v>
      </c>
    </row>
    <row r="49" spans="1:2">
      <c r="A49" s="2" t="s">
        <v>17</v>
      </c>
      <c r="B49" s="5">
        <v>9</v>
      </c>
    </row>
    <row r="50" spans="1:2">
      <c r="A50" s="2" t="s">
        <v>11</v>
      </c>
      <c r="B50" s="5">
        <v>586</v>
      </c>
    </row>
    <row r="56" spans="1:2" ht="120.75" customHeight="1">
      <c r="A56" s="21" t="s">
        <v>59</v>
      </c>
    </row>
    <row r="59" spans="1:2">
      <c r="A59" s="1" t="s">
        <v>0</v>
      </c>
      <c r="B59" t="s">
        <v>12</v>
      </c>
    </row>
    <row r="60" spans="1:2">
      <c r="A60" s="2" t="s">
        <v>38</v>
      </c>
      <c r="B60">
        <v>190</v>
      </c>
    </row>
    <row r="61" spans="1:2">
      <c r="A61" s="2" t="s">
        <v>30</v>
      </c>
      <c r="B61">
        <v>24</v>
      </c>
    </row>
    <row r="62" spans="1:2">
      <c r="A62" s="2" t="s">
        <v>23</v>
      </c>
      <c r="B62">
        <v>15</v>
      </c>
    </row>
    <row r="63" spans="1:2">
      <c r="A63" s="2" t="s">
        <v>28</v>
      </c>
      <c r="B63">
        <v>15</v>
      </c>
    </row>
    <row r="64" spans="1:2">
      <c r="A64" s="2" t="s">
        <v>33</v>
      </c>
      <c r="B64">
        <v>14</v>
      </c>
    </row>
    <row r="65" spans="1:2">
      <c r="A65" s="2" t="s">
        <v>26</v>
      </c>
      <c r="B65">
        <v>14</v>
      </c>
    </row>
    <row r="66" spans="1:2">
      <c r="A66" s="2" t="s">
        <v>29</v>
      </c>
      <c r="B66">
        <v>14</v>
      </c>
    </row>
    <row r="67" spans="1:2">
      <c r="A67" s="2" t="s">
        <v>31</v>
      </c>
      <c r="B67">
        <v>14</v>
      </c>
    </row>
    <row r="68" spans="1:2">
      <c r="A68" s="2" t="s">
        <v>35</v>
      </c>
      <c r="B68">
        <v>13</v>
      </c>
    </row>
    <row r="69" spans="1:2">
      <c r="A69" s="2" t="s">
        <v>36</v>
      </c>
      <c r="B69">
        <v>13</v>
      </c>
    </row>
    <row r="70" spans="1:2">
      <c r="A70" s="2" t="s">
        <v>27</v>
      </c>
      <c r="B70">
        <v>12</v>
      </c>
    </row>
    <row r="71" spans="1:2">
      <c r="A71" s="2" t="s">
        <v>32</v>
      </c>
      <c r="B71">
        <v>12</v>
      </c>
    </row>
    <row r="72" spans="1:2">
      <c r="A72" s="2" t="s">
        <v>37</v>
      </c>
      <c r="B72">
        <v>11</v>
      </c>
    </row>
    <row r="73" spans="1:2">
      <c r="A73" s="2" t="s">
        <v>34</v>
      </c>
      <c r="B73">
        <v>10</v>
      </c>
    </row>
    <row r="74" spans="1:2">
      <c r="A74" s="2" t="s">
        <v>25</v>
      </c>
      <c r="B74">
        <v>10</v>
      </c>
    </row>
    <row r="75" spans="1:2">
      <c r="A75" s="2" t="s">
        <v>11</v>
      </c>
      <c r="B75">
        <v>381</v>
      </c>
    </row>
    <row r="79" spans="1:2" ht="111" customHeight="1">
      <c r="A79" s="21" t="s">
        <v>60</v>
      </c>
    </row>
    <row r="83" spans="1:7">
      <c r="A83" s="1" t="s">
        <v>12</v>
      </c>
      <c r="B83" s="1" t="s">
        <v>39</v>
      </c>
    </row>
    <row r="84" spans="1:7">
      <c r="A84" s="1" t="s">
        <v>0</v>
      </c>
      <c r="B84" t="s">
        <v>40</v>
      </c>
      <c r="C84" t="s">
        <v>41</v>
      </c>
      <c r="D84" t="s">
        <v>42</v>
      </c>
      <c r="E84" t="s">
        <v>43</v>
      </c>
      <c r="F84" t="s">
        <v>44</v>
      </c>
      <c r="G84" t="s">
        <v>11</v>
      </c>
    </row>
    <row r="85" spans="1:7">
      <c r="A85" s="2" t="s">
        <v>2</v>
      </c>
      <c r="B85" s="5">
        <v>5</v>
      </c>
      <c r="C85" s="5"/>
      <c r="D85" s="5">
        <v>1</v>
      </c>
      <c r="E85" s="5">
        <v>5</v>
      </c>
      <c r="F85" s="5"/>
      <c r="G85" s="5">
        <v>11</v>
      </c>
    </row>
    <row r="86" spans="1:7">
      <c r="A86" s="2" t="s">
        <v>3</v>
      </c>
      <c r="B86" s="5">
        <v>3</v>
      </c>
      <c r="C86" s="5">
        <v>5</v>
      </c>
      <c r="D86" s="5">
        <v>1</v>
      </c>
      <c r="E86" s="5"/>
      <c r="F86" s="5">
        <v>7</v>
      </c>
      <c r="G86" s="5">
        <v>16</v>
      </c>
    </row>
    <row r="87" spans="1:7">
      <c r="A87" s="2" t="s">
        <v>54</v>
      </c>
      <c r="B87" s="5">
        <v>1</v>
      </c>
      <c r="C87" s="5"/>
      <c r="D87" s="5"/>
      <c r="E87" s="5"/>
      <c r="F87" s="5">
        <v>2</v>
      </c>
      <c r="G87" s="5">
        <v>3</v>
      </c>
    </row>
    <row r="88" spans="1:7">
      <c r="A88" s="2" t="s">
        <v>4</v>
      </c>
      <c r="B88" s="5">
        <v>9</v>
      </c>
      <c r="C88" s="5"/>
      <c r="D88" s="5"/>
      <c r="E88" s="5">
        <v>3</v>
      </c>
      <c r="F88" s="5"/>
      <c r="G88" s="5">
        <v>12</v>
      </c>
    </row>
    <row r="89" spans="1:7">
      <c r="A89" s="2" t="s">
        <v>5</v>
      </c>
      <c r="B89" s="5">
        <v>310</v>
      </c>
      <c r="C89" s="5">
        <v>92</v>
      </c>
      <c r="D89" s="5">
        <v>253</v>
      </c>
      <c r="E89" s="5">
        <v>152</v>
      </c>
      <c r="F89" s="5">
        <v>39</v>
      </c>
      <c r="G89" s="5">
        <v>846</v>
      </c>
    </row>
    <row r="90" spans="1:7">
      <c r="A90" s="2" t="s">
        <v>6</v>
      </c>
      <c r="B90" s="5">
        <v>7</v>
      </c>
      <c r="C90" s="5"/>
      <c r="D90" s="5">
        <v>1</v>
      </c>
      <c r="E90" s="5"/>
      <c r="F90" s="5"/>
      <c r="G90" s="5">
        <v>8</v>
      </c>
    </row>
    <row r="91" spans="1:7">
      <c r="A91" s="2" t="s">
        <v>7</v>
      </c>
      <c r="B91" s="5">
        <v>11</v>
      </c>
      <c r="C91" s="5">
        <v>1</v>
      </c>
      <c r="D91" s="5">
        <v>3</v>
      </c>
      <c r="E91" s="5">
        <v>10</v>
      </c>
      <c r="F91" s="5"/>
      <c r="G91" s="5">
        <v>25</v>
      </c>
    </row>
    <row r="92" spans="1:7">
      <c r="A92" s="2" t="s">
        <v>8</v>
      </c>
      <c r="B92" s="5">
        <v>2</v>
      </c>
      <c r="C92" s="5"/>
      <c r="D92" s="5"/>
      <c r="E92" s="5">
        <v>1</v>
      </c>
      <c r="F92" s="5"/>
      <c r="G92" s="5">
        <v>3</v>
      </c>
    </row>
    <row r="93" spans="1:7">
      <c r="A93" s="2" t="s">
        <v>9</v>
      </c>
      <c r="B93" s="5">
        <v>11</v>
      </c>
      <c r="C93" s="5">
        <v>2</v>
      </c>
      <c r="D93" s="5">
        <v>2</v>
      </c>
      <c r="E93" s="5">
        <v>5</v>
      </c>
      <c r="F93" s="5"/>
      <c r="G93" s="5">
        <v>20</v>
      </c>
    </row>
    <row r="94" spans="1:7">
      <c r="A94" s="2" t="s">
        <v>10</v>
      </c>
      <c r="B94" s="5">
        <v>42</v>
      </c>
      <c r="C94" s="5">
        <v>60</v>
      </c>
      <c r="D94" s="5">
        <v>40</v>
      </c>
      <c r="E94" s="5">
        <v>13</v>
      </c>
      <c r="F94" s="5">
        <v>14</v>
      </c>
      <c r="G94" s="5">
        <v>169</v>
      </c>
    </row>
    <row r="95" spans="1:7">
      <c r="A95" s="2" t="s">
        <v>11</v>
      </c>
      <c r="B95" s="5">
        <v>401</v>
      </c>
      <c r="C95" s="5">
        <v>160</v>
      </c>
      <c r="D95" s="5">
        <v>301</v>
      </c>
      <c r="E95" s="5">
        <v>189</v>
      </c>
      <c r="F95" s="5">
        <v>62</v>
      </c>
      <c r="G95" s="5">
        <v>1113</v>
      </c>
    </row>
    <row r="101" spans="1:2" ht="69.75" customHeight="1">
      <c r="A101" s="21" t="s">
        <v>61</v>
      </c>
    </row>
    <row r="104" spans="1:2">
      <c r="A104" s="1" t="s">
        <v>0</v>
      </c>
      <c r="B104" t="s">
        <v>12</v>
      </c>
    </row>
    <row r="105" spans="1:2">
      <c r="A105" s="2" t="s">
        <v>53</v>
      </c>
      <c r="B105" s="5">
        <v>1</v>
      </c>
    </row>
    <row r="106" spans="1:2">
      <c r="A106" s="2" t="s">
        <v>11</v>
      </c>
      <c r="B106" s="5">
        <v>1</v>
      </c>
    </row>
    <row r="110" spans="1:2" ht="72" customHeight="1">
      <c r="A110" s="21" t="s">
        <v>62</v>
      </c>
    </row>
    <row r="115" spans="1:2">
      <c r="A115" s="1" t="s">
        <v>0</v>
      </c>
      <c r="B115" t="s">
        <v>47</v>
      </c>
    </row>
    <row r="116" spans="1:2">
      <c r="A116" s="2">
        <v>2019</v>
      </c>
      <c r="B116">
        <v>49</v>
      </c>
    </row>
    <row r="117" spans="1:2">
      <c r="A117" s="2">
        <v>2020</v>
      </c>
      <c r="B117">
        <v>28</v>
      </c>
    </row>
    <row r="118" spans="1:2" ht="11.25" customHeight="1">
      <c r="A118" s="2">
        <v>2021</v>
      </c>
      <c r="B118">
        <v>34</v>
      </c>
    </row>
    <row r="119" spans="1:2">
      <c r="A119" s="2" t="s">
        <v>11</v>
      </c>
      <c r="B119">
        <v>89</v>
      </c>
    </row>
  </sheetData>
  <conditionalFormatting pivot="1" sqref="B85:G95">
    <cfRule type="colorScale" priority="3">
      <colorScale>
        <cfvo type="min"/>
        <cfvo type="max"/>
        <color rgb="FFFCFCFF"/>
        <color rgb="FF63BE7B"/>
      </colorScale>
    </cfRule>
  </conditionalFormatting>
  <conditionalFormatting pivot="1" sqref="B85:G94">
    <cfRule type="colorScale" priority="2">
      <colorScale>
        <cfvo type="min"/>
        <cfvo type="percentile" val="50"/>
        <cfvo type="max"/>
        <color rgb="FFF8696B"/>
        <color rgb="FFFCFCFF"/>
        <color rgb="FF5A8AC6"/>
      </colorScale>
    </cfRule>
  </conditionalFormatting>
  <conditionalFormatting pivot="1" sqref="B85:G94">
    <cfRule type="colorScale" priority="1">
      <colorScale>
        <cfvo type="min"/>
        <cfvo type="percentile" val="50"/>
        <cfvo type="max"/>
        <color rgb="FFB7C3E8"/>
        <color rgb="FF4569AD"/>
        <color rgb="FF081F44"/>
      </colorScale>
    </cfRule>
  </conditionalFormatting>
  <pageMargins left="0.7" right="0.7" top="0.75" bottom="0.75" header="0.3" footer="0.3"/>
  <pageSetup orientation="portrait" r:id="rId8"/>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73757-3174-4AF7-A738-F1F4B0177D8B}">
  <dimension ref="A1:AJ69"/>
  <sheetViews>
    <sheetView showGridLines="0" rightToLeft="1" tabSelected="1" zoomScale="71" zoomScaleNormal="71" workbookViewId="0">
      <selection activeCell="T11" sqref="T11"/>
    </sheetView>
  </sheetViews>
  <sheetFormatPr defaultRowHeight="14.25"/>
  <cols>
    <col min="1" max="1" width="0.875" customWidth="1"/>
    <col min="4" max="4" width="8.875" customWidth="1"/>
    <col min="5" max="5" width="0.75" customWidth="1"/>
    <col min="9" max="9" width="0.875" customWidth="1"/>
    <col min="13" max="13" width="0.75" customWidth="1"/>
  </cols>
  <sheetData>
    <row r="1" spans="1:36" ht="25.5" customHeight="1">
      <c r="A1" s="7"/>
      <c r="B1" s="6" t="s">
        <v>55</v>
      </c>
      <c r="C1" s="6"/>
      <c r="D1" s="6"/>
      <c r="E1" s="6"/>
      <c r="F1" s="6"/>
      <c r="G1" s="6"/>
      <c r="H1" s="6"/>
      <c r="I1" s="6"/>
      <c r="J1" s="6"/>
      <c r="K1" s="6"/>
      <c r="L1" s="6"/>
      <c r="M1" s="6"/>
      <c r="N1" s="6"/>
      <c r="O1" s="6"/>
      <c r="P1" s="6"/>
      <c r="Q1" s="7"/>
      <c r="R1" s="7"/>
      <c r="S1" s="7"/>
      <c r="T1" s="7"/>
      <c r="U1" s="7"/>
      <c r="V1" s="7"/>
      <c r="W1" s="7"/>
      <c r="X1" s="7"/>
      <c r="Y1" s="7"/>
      <c r="Z1" s="7"/>
      <c r="AA1" s="7"/>
      <c r="AB1" s="7"/>
      <c r="AC1" s="7"/>
      <c r="AD1" s="7"/>
      <c r="AE1" s="7"/>
      <c r="AF1" s="7"/>
      <c r="AG1" s="7"/>
      <c r="AH1" s="7"/>
      <c r="AI1" s="7"/>
      <c r="AJ1" s="7"/>
    </row>
    <row r="2" spans="1:36" ht="6.75" hidden="1" customHeight="1">
      <c r="A2" s="7"/>
      <c r="B2" s="6"/>
      <c r="C2" s="6"/>
      <c r="D2" s="6"/>
      <c r="E2" s="6"/>
      <c r="F2" s="6"/>
      <c r="G2" s="6"/>
      <c r="H2" s="6"/>
      <c r="I2" s="6"/>
      <c r="J2" s="6"/>
      <c r="K2" s="6"/>
      <c r="L2" s="6"/>
      <c r="M2" s="6"/>
      <c r="N2" s="6"/>
      <c r="O2" s="6"/>
      <c r="P2" s="6"/>
      <c r="Q2" s="7"/>
      <c r="R2" s="7"/>
      <c r="S2" s="7"/>
      <c r="T2" s="7"/>
      <c r="U2" s="7"/>
      <c r="V2" s="7"/>
      <c r="W2" s="7"/>
      <c r="X2" s="7"/>
      <c r="Y2" s="7"/>
      <c r="Z2" s="7"/>
      <c r="AA2" s="7"/>
      <c r="AB2" s="7"/>
      <c r="AC2" s="7"/>
      <c r="AD2" s="7"/>
      <c r="AE2" s="7"/>
      <c r="AF2" s="7"/>
      <c r="AG2" s="7"/>
      <c r="AH2" s="7"/>
      <c r="AI2" s="7"/>
      <c r="AJ2" s="7"/>
    </row>
    <row r="3" spans="1:36" ht="8.25" customHeight="1">
      <c r="A3" s="7"/>
      <c r="B3" s="9"/>
      <c r="C3" s="9"/>
      <c r="D3" s="9"/>
      <c r="E3" s="9"/>
      <c r="F3" s="9"/>
      <c r="G3" s="9"/>
      <c r="H3" s="9"/>
      <c r="I3" s="9"/>
      <c r="J3" s="9"/>
      <c r="K3" s="9"/>
      <c r="L3" s="9"/>
      <c r="M3" s="9"/>
      <c r="N3" s="9"/>
      <c r="O3" s="9"/>
      <c r="P3" s="7"/>
      <c r="Q3" s="7"/>
      <c r="R3" s="7"/>
      <c r="S3" s="7"/>
      <c r="T3" s="7"/>
      <c r="U3" s="7"/>
      <c r="V3" s="7"/>
      <c r="W3" s="7"/>
      <c r="X3" s="7"/>
      <c r="Y3" s="7"/>
      <c r="Z3" s="7"/>
      <c r="AA3" s="7"/>
      <c r="AB3" s="7"/>
      <c r="AC3" s="7"/>
      <c r="AD3" s="7"/>
      <c r="AE3" s="7"/>
      <c r="AF3" s="7"/>
      <c r="AG3" s="7"/>
      <c r="AH3" s="7"/>
      <c r="AI3" s="7"/>
      <c r="AJ3" s="7"/>
    </row>
    <row r="4" spans="1:36" ht="14.25" customHeight="1">
      <c r="A4" s="7"/>
      <c r="B4" s="10" t="s">
        <v>45</v>
      </c>
      <c r="C4" s="10"/>
      <c r="D4" s="10"/>
      <c r="E4" s="16"/>
      <c r="F4" s="10" t="s">
        <v>46</v>
      </c>
      <c r="G4" s="10"/>
      <c r="H4" s="10"/>
      <c r="I4" s="16"/>
      <c r="J4" s="10" t="s">
        <v>50</v>
      </c>
      <c r="K4" s="10"/>
      <c r="L4" s="10"/>
      <c r="M4" s="16"/>
      <c r="N4" s="10" t="s">
        <v>51</v>
      </c>
      <c r="O4" s="10"/>
      <c r="P4" s="10"/>
      <c r="Q4" s="7"/>
      <c r="R4" s="7"/>
      <c r="S4" s="7"/>
      <c r="T4" s="7"/>
      <c r="U4" s="7"/>
      <c r="V4" s="7"/>
      <c r="W4" s="7"/>
      <c r="X4" s="7"/>
      <c r="Y4" s="7"/>
      <c r="Z4" s="7"/>
      <c r="AA4" s="7"/>
      <c r="AB4" s="7"/>
      <c r="AC4" s="7"/>
      <c r="AD4" s="7"/>
      <c r="AE4" s="7"/>
      <c r="AF4" s="7"/>
      <c r="AG4" s="7"/>
      <c r="AH4" s="7"/>
      <c r="AI4" s="7"/>
      <c r="AJ4" s="7"/>
    </row>
    <row r="5" spans="1:36" ht="14.25" customHeight="1">
      <c r="A5" s="7"/>
      <c r="B5" s="12"/>
      <c r="C5" s="12"/>
      <c r="D5" s="12"/>
      <c r="E5" s="16"/>
      <c r="F5" s="12"/>
      <c r="G5" s="12"/>
      <c r="H5" s="12"/>
      <c r="I5" s="16"/>
      <c r="J5" s="12"/>
      <c r="K5" s="12"/>
      <c r="L5" s="12"/>
      <c r="M5" s="16"/>
      <c r="N5" s="12"/>
      <c r="O5" s="12"/>
      <c r="P5" s="12"/>
      <c r="Q5" s="7"/>
      <c r="R5" s="7"/>
      <c r="S5" s="7"/>
      <c r="T5" s="7"/>
      <c r="U5" s="7"/>
      <c r="V5" s="7"/>
      <c r="W5" s="7"/>
      <c r="X5" s="7"/>
      <c r="Y5" s="7"/>
      <c r="Z5" s="7"/>
      <c r="AA5" s="7"/>
      <c r="AB5" s="7"/>
      <c r="AC5" s="7"/>
      <c r="AD5" s="7"/>
      <c r="AE5" s="7"/>
      <c r="AF5" s="7"/>
      <c r="AG5" s="7"/>
      <c r="AH5" s="7"/>
      <c r="AI5" s="7"/>
      <c r="AJ5" s="7"/>
    </row>
    <row r="6" spans="1:36" ht="14.25" customHeight="1">
      <c r="A6" s="7"/>
      <c r="B6" s="13">
        <v>89</v>
      </c>
      <c r="C6" s="13"/>
      <c r="D6" s="13"/>
      <c r="E6" s="19"/>
      <c r="F6" s="13">
        <v>674</v>
      </c>
      <c r="G6" s="13"/>
      <c r="H6" s="13"/>
      <c r="I6" s="19"/>
      <c r="J6" s="13">
        <v>2.36</v>
      </c>
      <c r="K6" s="13"/>
      <c r="L6" s="13"/>
      <c r="M6" s="19"/>
      <c r="N6" s="13" t="s">
        <v>52</v>
      </c>
      <c r="O6" s="13"/>
      <c r="P6" s="13"/>
      <c r="Q6" s="7"/>
      <c r="R6" s="7"/>
      <c r="S6" s="7"/>
      <c r="T6" s="7"/>
      <c r="U6" s="7"/>
      <c r="V6" s="7"/>
      <c r="W6" s="7"/>
      <c r="X6" s="7"/>
      <c r="Y6" s="7"/>
      <c r="Z6" s="7"/>
      <c r="AA6" s="7"/>
      <c r="AB6" s="7"/>
      <c r="AC6" s="7"/>
      <c r="AD6" s="7"/>
      <c r="AE6" s="7"/>
      <c r="AF6" s="7"/>
      <c r="AG6" s="7"/>
      <c r="AH6" s="7"/>
      <c r="AI6" s="7"/>
      <c r="AJ6" s="7"/>
    </row>
    <row r="7" spans="1:36" ht="12" customHeight="1">
      <c r="A7" s="7"/>
      <c r="B7" s="11"/>
      <c r="C7" s="11"/>
      <c r="D7" s="11"/>
      <c r="E7" s="19"/>
      <c r="F7" s="11"/>
      <c r="G7" s="11"/>
      <c r="H7" s="11"/>
      <c r="I7" s="19"/>
      <c r="J7" s="11"/>
      <c r="K7" s="11"/>
      <c r="L7" s="11"/>
      <c r="M7" s="19"/>
      <c r="N7" s="11"/>
      <c r="O7" s="11"/>
      <c r="P7" s="11"/>
      <c r="Q7" s="7"/>
      <c r="R7" s="7"/>
      <c r="S7" s="7"/>
      <c r="T7" s="7"/>
      <c r="U7" s="7"/>
      <c r="V7" s="7"/>
      <c r="W7" s="7"/>
      <c r="X7" s="7"/>
      <c r="Y7" s="7"/>
      <c r="Z7" s="7"/>
      <c r="AA7" s="7"/>
      <c r="AB7" s="7"/>
      <c r="AC7" s="7"/>
      <c r="AD7" s="7"/>
      <c r="AE7" s="7"/>
      <c r="AF7" s="7"/>
      <c r="AG7" s="7"/>
      <c r="AH7" s="7"/>
      <c r="AI7" s="7"/>
      <c r="AJ7" s="7"/>
    </row>
    <row r="8" spans="1:36" ht="5.25" customHeight="1">
      <c r="A8" s="14"/>
      <c r="B8" s="20"/>
      <c r="C8" s="20"/>
      <c r="D8" s="20"/>
      <c r="E8" s="18"/>
      <c r="F8" s="20"/>
      <c r="G8" s="20"/>
      <c r="H8" s="20"/>
      <c r="I8" s="18"/>
      <c r="J8" s="18"/>
      <c r="K8" s="18"/>
      <c r="L8" s="18"/>
      <c r="M8" s="18"/>
      <c r="N8" s="18"/>
      <c r="O8" s="18"/>
      <c r="P8" s="18"/>
      <c r="Q8" s="7"/>
      <c r="R8" s="7"/>
      <c r="S8" s="7"/>
      <c r="T8" s="7"/>
      <c r="U8" s="7"/>
      <c r="V8" s="7"/>
      <c r="W8" s="7"/>
      <c r="X8" s="7"/>
      <c r="Y8" s="7"/>
      <c r="Z8" s="7"/>
      <c r="AA8" s="7"/>
      <c r="AB8" s="7"/>
      <c r="AC8" s="7"/>
      <c r="AD8" s="7"/>
      <c r="AE8" s="7"/>
      <c r="AF8" s="7"/>
      <c r="AG8" s="7"/>
      <c r="AH8" s="7"/>
      <c r="AI8" s="7"/>
      <c r="AJ8" s="7"/>
    </row>
    <row r="9" spans="1:36" ht="14.25" customHeight="1">
      <c r="A9" s="7"/>
      <c r="B9" s="10" t="s">
        <v>49</v>
      </c>
      <c r="C9" s="10"/>
      <c r="D9" s="10"/>
      <c r="E9" s="16"/>
      <c r="F9" s="10" t="s">
        <v>48</v>
      </c>
      <c r="G9" s="10"/>
      <c r="H9" s="10"/>
      <c r="I9" s="17"/>
      <c r="J9" s="7"/>
      <c r="K9" s="7"/>
      <c r="L9" s="7"/>
      <c r="M9" s="7"/>
      <c r="N9" s="7"/>
      <c r="O9" s="7"/>
      <c r="P9" s="7"/>
      <c r="Q9" s="7"/>
      <c r="R9" s="7"/>
      <c r="S9" s="7"/>
      <c r="T9" s="7"/>
      <c r="U9" s="7"/>
      <c r="V9" s="7"/>
      <c r="W9" s="7"/>
      <c r="X9" s="7"/>
      <c r="Y9" s="7"/>
      <c r="Z9" s="7"/>
      <c r="AA9" s="7"/>
      <c r="AB9" s="7"/>
      <c r="AC9" s="7"/>
      <c r="AD9" s="7"/>
      <c r="AE9" s="7"/>
      <c r="AF9" s="7"/>
      <c r="AG9" s="7"/>
      <c r="AH9" s="7"/>
      <c r="AI9" s="7"/>
      <c r="AJ9" s="7"/>
    </row>
    <row r="10" spans="1:36" ht="14.25" customHeight="1">
      <c r="A10" s="7"/>
      <c r="B10" s="12"/>
      <c r="C10" s="12"/>
      <c r="D10" s="12"/>
      <c r="E10" s="16"/>
      <c r="F10" s="12"/>
      <c r="G10" s="12"/>
      <c r="H10" s="12"/>
      <c r="I10" s="1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row>
    <row r="11" spans="1:36" ht="14.25" customHeight="1">
      <c r="A11" s="7"/>
      <c r="B11" s="15">
        <v>0.151</v>
      </c>
      <c r="C11" s="13"/>
      <c r="D11" s="13"/>
      <c r="E11" s="19"/>
      <c r="F11" s="15">
        <v>0.81599999999999995</v>
      </c>
      <c r="G11" s="13"/>
      <c r="H11" s="13"/>
      <c r="I11" s="18"/>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row>
    <row r="12" spans="1:36" ht="20.25">
      <c r="A12" s="7"/>
      <c r="B12" s="11"/>
      <c r="C12" s="11"/>
      <c r="D12" s="11"/>
      <c r="E12" s="19"/>
      <c r="F12" s="11"/>
      <c r="G12" s="11"/>
      <c r="H12" s="11"/>
      <c r="I12" s="18"/>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row>
    <row r="13" spans="1:36">
      <c r="A13" s="7"/>
      <c r="B13" s="7"/>
      <c r="C13" s="7"/>
      <c r="D13" s="7"/>
      <c r="E13" s="14"/>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row>
    <row r="14" spans="1:36">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row>
    <row r="15" spans="1:36">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row>
    <row r="16" spans="1:36">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row>
    <row r="17" spans="1:36">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row>
    <row r="18" spans="1:36">
      <c r="A18" s="7"/>
      <c r="B18" s="7"/>
      <c r="C18" s="7"/>
      <c r="D18" s="7"/>
      <c r="E18" s="7"/>
      <c r="F18" s="7"/>
      <c r="G18" s="7"/>
      <c r="H18" s="7"/>
      <c r="I18" s="7"/>
      <c r="J18" s="7"/>
      <c r="K18" s="7"/>
      <c r="L18" s="7"/>
      <c r="M18" s="7"/>
      <c r="N18" s="7"/>
      <c r="O18" s="7"/>
      <c r="P18" s="14"/>
      <c r="Q18" s="7"/>
      <c r="R18" s="7"/>
      <c r="S18" s="7"/>
      <c r="T18" s="7"/>
      <c r="U18" s="7"/>
      <c r="V18" s="7"/>
      <c r="W18" s="7"/>
      <c r="X18" s="7"/>
      <c r="Y18" s="7"/>
      <c r="Z18" s="7"/>
      <c r="AA18" s="7"/>
      <c r="AB18" s="7"/>
      <c r="AC18" s="7"/>
      <c r="AD18" s="7"/>
      <c r="AE18" s="7"/>
      <c r="AF18" s="7"/>
      <c r="AG18" s="7"/>
      <c r="AH18" s="7"/>
      <c r="AI18" s="7"/>
      <c r="AJ18" s="7"/>
    </row>
    <row r="19" spans="1:36">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row>
    <row r="20" spans="1:36">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row>
    <row r="21" spans="1:36">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row>
    <row r="22" spans="1:36">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row>
    <row r="23" spans="1:36">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row>
    <row r="24" spans="1:36">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row>
    <row r="25" spans="1:36">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row>
    <row r="26" spans="1:36">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row>
    <row r="27" spans="1:36">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row>
    <row r="28" spans="1:36">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row>
    <row r="29" spans="1:36">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row>
    <row r="30" spans="1:36">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row>
    <row r="31" spans="1:36">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row>
    <row r="32" spans="1:36">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row>
    <row r="33" spans="1:36">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row>
    <row r="34" spans="1:36">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row>
    <row r="35" spans="1:36">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row>
    <row r="36" spans="1:36">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row>
    <row r="37" spans="1:36">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row>
    <row r="38" spans="1:36">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row>
    <row r="39" spans="1:36">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row>
    <row r="40" spans="1:36">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row>
    <row r="41" spans="1:36">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row>
    <row r="42" spans="1:36">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row>
    <row r="43" spans="1:36">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row>
    <row r="44" spans="1:36">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row>
    <row r="45" spans="1:36">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row>
    <row r="46" spans="1:36">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row>
    <row r="47" spans="1:36">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row>
    <row r="48" spans="1:36">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row>
    <row r="49" spans="1:36">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row>
    <row r="50" spans="1:36">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row>
    <row r="51" spans="1:36">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row>
    <row r="52" spans="1:36">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row>
    <row r="53" spans="1:36">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row>
    <row r="54" spans="1:36">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row>
    <row r="55" spans="1:36">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row>
    <row r="56" spans="1:36">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row>
    <row r="57" spans="1:36">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row>
    <row r="58" spans="1:36">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row>
    <row r="59" spans="1:36">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row>
    <row r="60" spans="1:36">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row>
    <row r="61" spans="1:36">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row>
    <row r="62" spans="1:36">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row>
    <row r="63" spans="1:36">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row>
    <row r="64" spans="1:36">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row>
    <row r="65" spans="1:36">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row>
    <row r="66" spans="1:36">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row>
    <row r="67" spans="1:36">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row>
    <row r="68" spans="1:36">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row>
    <row r="69" spans="1:36">
      <c r="A69" s="8"/>
    </row>
  </sheetData>
  <mergeCells count="13">
    <mergeCell ref="F6:H7"/>
    <mergeCell ref="B4:D5"/>
    <mergeCell ref="B6:D7"/>
    <mergeCell ref="F9:H10"/>
    <mergeCell ref="F11:H12"/>
    <mergeCell ref="B9:D10"/>
    <mergeCell ref="B11:D12"/>
    <mergeCell ref="N4:P5"/>
    <mergeCell ref="N6:P7"/>
    <mergeCell ref="J4:L5"/>
    <mergeCell ref="J6:L7"/>
    <mergeCell ref="F4:H5"/>
    <mergeCell ref="B1:P2"/>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xml version="1.0" encoding="utf-8"?>
<?mso-contentType ?>
<FormTemplates xmlns="http://schemas.microsoft.com/sharepoint/v3/contenttype/forms">
  <Display>DocumentLibraryForm</Display>
  <Edit>DocumentLibraryForm</Edit>
  <New>DocumentLibraryForm</New>
</FormTemplates>
</file>

<file path=customXml/item12.xml>��
</file>

<file path=customXml/item13.xml><?xml version="1.0" encoding="utf-8"?>
<ct:contentTypeSchema xmlns:ct="http://schemas.microsoft.com/office/2006/metadata/contentType" xmlns:ma="http://schemas.microsoft.com/office/2006/metadata/properties/metaAttributes" ct:_="" ma:_="" ma:contentTypeName="Document" ma:contentTypeID="0x010100E02FDB7B4AF76B4FA427FC465EFA7C9E" ma:contentTypeVersion="4" ma:contentTypeDescription="Create a new document." ma:contentTypeScope="" ma:versionID="4ec39185dc9bbf32b5a4e51fe13b7b8d">
  <xsd:schema xmlns:xsd="http://www.w3.org/2001/XMLSchema" xmlns:xs="http://www.w3.org/2001/XMLSchema" xmlns:p="http://schemas.microsoft.com/office/2006/metadata/properties" xmlns:ns3="f5796774-63e1-40ab-a086-6e05d383b59b" targetNamespace="http://schemas.microsoft.com/office/2006/metadata/properties" ma:root="true" ma:fieldsID="b8759ddca829c99a7c9da275fea92d1f" ns3:_="">
    <xsd:import namespace="f5796774-63e1-40ab-a086-6e05d383b59b"/>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5796774-63e1-40ab-a086-6e05d383b59b"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4.xml>��
</file>

<file path=customXml/item15.xml>��
</file>

<file path=customXml/item16.xml><?xml version="1.0" encoding="utf-8"?>
<p:properties xmlns:p="http://schemas.microsoft.com/office/2006/metadata/properties" xmlns:xsi="http://www.w3.org/2001/XMLSchema-instance" xmlns:pc="http://schemas.microsoft.com/office/infopath/2007/PartnerControls">
  <documentManagement/>
</p:properties>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4174EC13-A93C-4205-A128-CB8B9B89E4A6}">
  <ds:schemaRefs/>
</ds:datastoreItem>
</file>

<file path=customXml/itemProps2.xml><?xml version="1.0" encoding="utf-8"?>
<ds:datastoreItem xmlns:ds="http://schemas.openxmlformats.org/officeDocument/2006/customXml" ds:itemID="{5055AC91-4ABE-478E-8B25-8AD8EED09C75}">
  <ds:schemaRefs/>
</ds:datastoreItem>
</file>

<file path=customXml/itemProps3.xml><?xml version="1.0" encoding="utf-8"?>
<ds:datastoreItem xmlns:ds="http://schemas.openxmlformats.org/officeDocument/2006/customXml" ds:itemID="{9DA08AC3-2993-4655-9D29-3B8A2EDE3892}">
  <ds:schemaRefs/>
</ds:datastoreItem>
</file>

<file path=customXml/itemProps4.xml><?xml version="1.0" encoding="utf-8"?>
<ds:datastoreItem xmlns:ds="http://schemas.openxmlformats.org/officeDocument/2006/customXml" ds:itemID="{48E95967-A0A5-4ABC-A0A4-2E6B3740043F}">
  <ds:schemaRefs/>
</ds:datastoreItem>
</file>

<file path=customXml/itemProps5.xml><?xml version="1.0" encoding="utf-8"?>
<ds:datastoreItem xmlns:ds="http://schemas.openxmlformats.org/officeDocument/2006/customXml" ds:itemID="{3E9BD1E3-EB5D-4AB8-883A-D301C2F86B9E}">
  <ds:schemaRefs/>
</ds:datastoreItem>
</file>

<file path=customXml/itemProps6.xml><?xml version="1.0" encoding="utf-8"?>
<ds:datastoreItem xmlns:ds="http://schemas.openxmlformats.org/officeDocument/2006/customXml" ds:itemID="{6E09F6A7-BDAC-46A1-874B-A81F3A50DC24}">
  <ds:schemaRefs/>
</ds:datastoreItem>
</file>

<file path=customXml/itemProps7.xml><?xml version="1.0" encoding="utf-8"?>
<ds:datastoreItem xmlns:ds="http://schemas.openxmlformats.org/officeDocument/2006/customXml" ds:itemID="{34E7D34B-0FB9-44A0-B14C-DE8683ED908A}">
  <ds:schemaRefs/>
</ds:datastoreItem>
</file>

<file path=customXml/itemProps8.xml><?xml version="1.0" encoding="utf-8"?>
<ds:datastoreItem xmlns:ds="http://schemas.openxmlformats.org/officeDocument/2006/customXml" ds:itemID="{1673B4D7-B754-47A0-A946-718346F488D5}">
  <ds:schemaRefs/>
</ds:datastoreItem>
</file>

<file path=customXml/itemProps9.xml><?xml version="1.0" encoding="utf-8"?>
<ds:datastoreItem xmlns:ds="http://schemas.openxmlformats.org/officeDocument/2006/customXml" ds:itemID="{8C2434C7-82FB-4F01-863F-6162F01FA037}">
  <ds:schemaRefs/>
</ds:datastoreItem>
</file>

<file path=customXml/itemProps10.xml><?xml version="1.0" encoding="utf-8"?>
<ds:datastoreItem xmlns:ds="http://schemas.openxmlformats.org/officeDocument/2006/customXml" ds:itemID="{7BF5EF9A-F37C-4155-8BDA-2F9CD1D14A8F}">
  <ds:schemaRefs/>
</ds:datastoreItem>
</file>

<file path=customXml/itemProps11.xml><?xml version="1.0" encoding="utf-8"?>
<ds:datastoreItem xmlns:ds="http://schemas.openxmlformats.org/officeDocument/2006/customXml" ds:itemID="{CA392F40-27F1-4AD1-935D-63CBE9F38213}">
  <ds:schemaRefs>
    <ds:schemaRef ds:uri="http://schemas.microsoft.com/sharepoint/v3/contenttype/forms"/>
  </ds:schemaRefs>
</ds:datastoreItem>
</file>

<file path=customXml/itemProps12.xml><?xml version="1.0" encoding="utf-8"?>
<ds:datastoreItem xmlns:ds="http://schemas.openxmlformats.org/officeDocument/2006/customXml" ds:itemID="{EB602AFE-3A45-4270-9F70-62B54A636051}">
  <ds:schemaRefs/>
</ds:datastoreItem>
</file>

<file path=customXml/itemProps13.xml><?xml version="1.0" encoding="utf-8"?>
<ds:datastoreItem xmlns:ds="http://schemas.openxmlformats.org/officeDocument/2006/customXml" ds:itemID="{DDCEA7AC-7CB6-4CAA-AEA1-B502646CCFC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5796774-63e1-40ab-a086-6e05d383b5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14.xml><?xml version="1.0" encoding="utf-8"?>
<ds:datastoreItem xmlns:ds="http://schemas.openxmlformats.org/officeDocument/2006/customXml" ds:itemID="{E972AB9C-39B2-4410-97EE-783164E84DFB}">
  <ds:schemaRefs/>
</ds:datastoreItem>
</file>

<file path=customXml/itemProps15.xml><?xml version="1.0" encoding="utf-8"?>
<ds:datastoreItem xmlns:ds="http://schemas.openxmlformats.org/officeDocument/2006/customXml" ds:itemID="{24E6D74F-3C99-4834-9995-2B409604BEAF}">
  <ds:schemaRefs/>
</ds:datastoreItem>
</file>

<file path=customXml/itemProps16.xml><?xml version="1.0" encoding="utf-8"?>
<ds:datastoreItem xmlns:ds="http://schemas.openxmlformats.org/officeDocument/2006/customXml" ds:itemID="{99A4E4A5-4009-4FE5-88B9-75009C45F604}">
  <ds:schemaRefs>
    <ds:schemaRef ds:uri="http://purl.org/dc/dcmitype/"/>
    <ds:schemaRef ds:uri="http://purl.org/dc/elements/1.1/"/>
    <ds:schemaRef ds:uri="f5796774-63e1-40ab-a086-6e05d383b59b"/>
    <ds:schemaRef ds:uri="http://purl.org/dc/terms/"/>
    <ds:schemaRef ds:uri="http://schemas.microsoft.com/office/2006/documentManagement/types"/>
    <ds:schemaRef ds:uri="http://schemas.microsoft.com/office/infopath/2007/PartnerControls"/>
    <ds:schemaRef ds:uri="http://schemas.openxmlformats.org/package/2006/metadata/core-properties"/>
    <ds:schemaRef ds:uri="http://schemas.microsoft.com/office/2006/metadata/properties"/>
    <ds:schemaRef ds:uri="http://www.w3.org/XML/1998/namespace"/>
  </ds:schemaRefs>
</ds:datastoreItem>
</file>

<file path=customXml/itemProps17.xml><?xml version="1.0" encoding="utf-8"?>
<ds:datastoreItem xmlns:ds="http://schemas.openxmlformats.org/officeDocument/2006/customXml" ds:itemID="{571953ED-18C7-4692-BABC-F45A81B5EE1C}">
  <ds:schemaRefs/>
</ds:datastoreItem>
</file>

<file path=customXml/itemProps18.xml><?xml version="1.0" encoding="utf-8"?>
<ds:datastoreItem xmlns:ds="http://schemas.openxmlformats.org/officeDocument/2006/customXml" ds:itemID="{250B162A-69E7-4F1F-B6D6-A876FBB405B9}">
  <ds:schemaRefs/>
</ds:datastoreItem>
</file>

<file path=customXml/itemProps19.xml><?xml version="1.0" encoding="utf-8"?>
<ds:datastoreItem xmlns:ds="http://schemas.openxmlformats.org/officeDocument/2006/customXml" ds:itemID="{211FF6E0-6213-4D37-A1FE-AE455B9AFF73}">
  <ds:schemaRefs/>
</ds:datastoreItem>
</file>

<file path=customXml/itemProps20.xml><?xml version="1.0" encoding="utf-8"?>
<ds:datastoreItem xmlns:ds="http://schemas.openxmlformats.org/officeDocument/2006/customXml" ds:itemID="{D1C60744-D25B-43C3-9B03-5261EF94E86E}">
  <ds:schemaRefs/>
</ds:datastoreItem>
</file>

<file path=customXml/itemProps21.xml><?xml version="1.0" encoding="utf-8"?>
<ds:datastoreItem xmlns:ds="http://schemas.openxmlformats.org/officeDocument/2006/customXml" ds:itemID="{06D0D425-7484-42D8-B2D2-57B6E8A7157A}">
  <ds:schemaRefs/>
</ds:datastoreItem>
</file>

<file path=customXml/itemProps22.xml><?xml version="1.0" encoding="utf-8"?>
<ds:datastoreItem xmlns:ds="http://schemas.openxmlformats.org/officeDocument/2006/customXml" ds:itemID="{01F99829-87EB-4C2F-8C99-49941D998F1A}">
  <ds:schemaRefs/>
</ds:datastoreItem>
</file>

<file path=customXml/itemProps23.xml><?xml version="1.0" encoding="utf-8"?>
<ds:datastoreItem xmlns:ds="http://schemas.openxmlformats.org/officeDocument/2006/customXml" ds:itemID="{083408B7-DCA6-4FED-9768-BEA37133ED6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شهد هاني عبدالرازق سعيد عبدالرازق</dc:creator>
  <cp:lastModifiedBy>شهد هاني عبدالرازق سعيد عبدالرازق</cp:lastModifiedBy>
  <dcterms:created xsi:type="dcterms:W3CDTF">2026-09-16T01:51:33Z</dcterms:created>
  <dcterms:modified xsi:type="dcterms:W3CDTF">2026-09-18T00:50:16Z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0x010100E02FDB7B4AF76B4FA427FC465EFA7C9E</vt:lpwstr>
  </property>
</Properties>
</file>